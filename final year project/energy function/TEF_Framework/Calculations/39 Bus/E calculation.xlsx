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B2C96294-8EC1-4FAF-B933-DA6DC2489344}" xr6:coauthVersionLast="36" xr6:coauthVersionMax="36" xr10:uidLastSave="{00000000-0000-0000-0000-000000000000}"/>
  <bookViews>
    <workbookView xWindow="0" yWindow="0" windowWidth="23040" windowHeight="9360" xr2:uid="{879DF73F-615F-46C8-BFB7-CD33A32BAA6E}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3" i="1"/>
  <c r="T3" i="1"/>
  <c r="T4" i="1" l="1"/>
  <c r="T5" i="1"/>
  <c r="T6" i="1"/>
  <c r="T7" i="1"/>
  <c r="T8" i="1"/>
  <c r="T9" i="1"/>
  <c r="T10" i="1"/>
  <c r="T11" i="1"/>
  <c r="T12" i="1"/>
  <c r="T13" i="1"/>
  <c r="T14" i="1"/>
  <c r="T15" i="1"/>
  <c r="P15" i="1"/>
  <c r="Q15" i="1"/>
  <c r="R15" i="1" s="1"/>
  <c r="P14" i="1"/>
  <c r="Q14" i="1" s="1"/>
  <c r="R14" i="1" s="1"/>
  <c r="P13" i="1"/>
  <c r="Q13" i="1" s="1"/>
  <c r="R13" i="1" s="1"/>
  <c r="N13" i="1"/>
  <c r="N14" i="1"/>
  <c r="N15" i="1"/>
  <c r="M13" i="1"/>
  <c r="M14" i="1"/>
  <c r="M15" i="1"/>
  <c r="L13" i="1"/>
  <c r="L14" i="1"/>
  <c r="L15" i="1"/>
  <c r="K13" i="1"/>
  <c r="K14" i="1"/>
  <c r="K15" i="1"/>
  <c r="J13" i="1"/>
  <c r="J14" i="1"/>
  <c r="J15" i="1"/>
  <c r="I13" i="1"/>
  <c r="I14" i="1"/>
  <c r="I15" i="1"/>
  <c r="H13" i="1"/>
  <c r="H14" i="1"/>
  <c r="H15" i="1"/>
  <c r="H4" i="1"/>
  <c r="H5" i="1"/>
  <c r="H6" i="1"/>
  <c r="H7" i="1"/>
  <c r="H8" i="1"/>
  <c r="H9" i="1"/>
  <c r="H10" i="1"/>
  <c r="J10" i="1" s="1"/>
  <c r="H11" i="1"/>
  <c r="J11" i="1" s="1"/>
  <c r="H12" i="1"/>
  <c r="J12" i="1" s="1"/>
  <c r="H3" i="1"/>
  <c r="J3" i="1" s="1"/>
  <c r="P4" i="1"/>
  <c r="P5" i="1"/>
  <c r="P6" i="1"/>
  <c r="P7" i="1"/>
  <c r="P8" i="1"/>
  <c r="P9" i="1"/>
  <c r="P10" i="1"/>
  <c r="P11" i="1"/>
  <c r="P12" i="1"/>
  <c r="P3" i="1"/>
  <c r="I3" i="1"/>
  <c r="K3" i="1" s="1"/>
  <c r="I4" i="1"/>
  <c r="I5" i="1"/>
  <c r="I6" i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J7" i="1"/>
  <c r="J8" i="1"/>
  <c r="J9" i="1"/>
  <c r="K4" i="1"/>
  <c r="K5" i="1"/>
  <c r="K6" i="1"/>
  <c r="J4" i="1"/>
  <c r="J5" i="1"/>
  <c r="J6" i="1"/>
  <c r="S15" i="1" l="1"/>
  <c r="S14" i="1"/>
  <c r="S13" i="1"/>
  <c r="L6" i="1"/>
  <c r="M6" i="1" s="1"/>
  <c r="N6" i="1" s="1"/>
  <c r="Q6" i="1" s="1"/>
  <c r="R6" i="1" s="1"/>
  <c r="S6" i="1" s="1"/>
  <c r="L10" i="1"/>
  <c r="M10" i="1" s="1"/>
  <c r="N10" i="1" s="1"/>
  <c r="Q10" i="1" s="1"/>
  <c r="R10" i="1" s="1"/>
  <c r="S10" i="1" s="1"/>
  <c r="L9" i="1"/>
  <c r="M9" i="1" s="1"/>
  <c r="N9" i="1" s="1"/>
  <c r="Q9" i="1" s="1"/>
  <c r="R9" i="1" s="1"/>
  <c r="S9" i="1" s="1"/>
  <c r="L8" i="1"/>
  <c r="M8" i="1" s="1"/>
  <c r="N8" i="1" s="1"/>
  <c r="Q8" i="1" s="1"/>
  <c r="R8" i="1" s="1"/>
  <c r="S8" i="1" s="1"/>
  <c r="L5" i="1"/>
  <c r="M5" i="1" s="1"/>
  <c r="N5" i="1" s="1"/>
  <c r="Q5" i="1" s="1"/>
  <c r="R5" i="1" s="1"/>
  <c r="S5" i="1" s="1"/>
  <c r="L12" i="1"/>
  <c r="M12" i="1" s="1"/>
  <c r="N12" i="1" s="1"/>
  <c r="Q12" i="1" s="1"/>
  <c r="R12" i="1" s="1"/>
  <c r="S12" i="1" s="1"/>
  <c r="L11" i="1"/>
  <c r="M11" i="1" s="1"/>
  <c r="N11" i="1" s="1"/>
  <c r="Q11" i="1" s="1"/>
  <c r="R11" i="1" s="1"/>
  <c r="S11" i="1" s="1"/>
  <c r="L7" i="1"/>
  <c r="M7" i="1" s="1"/>
  <c r="N7" i="1" s="1"/>
  <c r="Q7" i="1" s="1"/>
  <c r="R7" i="1" s="1"/>
  <c r="S7" i="1" s="1"/>
  <c r="L4" i="1"/>
  <c r="M4" i="1" s="1"/>
  <c r="N4" i="1" s="1"/>
  <c r="Q4" i="1" s="1"/>
  <c r="R4" i="1" s="1"/>
  <c r="S4" i="1" s="1"/>
  <c r="L3" i="1"/>
  <c r="M3" i="1" s="1"/>
  <c r="N3" i="1" s="1"/>
  <c r="Q3" i="1" s="1"/>
  <c r="R3" i="1" s="1"/>
  <c r="S3" i="1" s="1"/>
</calcChain>
</file>

<file path=xl/sharedStrings.xml><?xml version="1.0" encoding="utf-8"?>
<sst xmlns="http://schemas.openxmlformats.org/spreadsheetml/2006/main" count="42" uniqueCount="31">
  <si>
    <t>P</t>
  </si>
  <si>
    <t>Q</t>
  </si>
  <si>
    <t>del</t>
  </si>
  <si>
    <t>Bus</t>
  </si>
  <si>
    <t>V</t>
  </si>
  <si>
    <t>S=P+jQ</t>
  </si>
  <si>
    <t>V(complex)</t>
  </si>
  <si>
    <t>rounded S</t>
  </si>
  <si>
    <t>Rounded V</t>
  </si>
  <si>
    <t>Iconj</t>
  </si>
  <si>
    <t>I</t>
  </si>
  <si>
    <t>Round I</t>
  </si>
  <si>
    <t>xd'</t>
  </si>
  <si>
    <t>cmplx xd'</t>
  </si>
  <si>
    <t>E</t>
  </si>
  <si>
    <t>E FINAL</t>
  </si>
  <si>
    <t>E ABS</t>
  </si>
  <si>
    <t>Gen10</t>
  </si>
  <si>
    <t>Gen1</t>
  </si>
  <si>
    <t>Gen2</t>
  </si>
  <si>
    <t>Gen3</t>
  </si>
  <si>
    <t>Gen4</t>
  </si>
  <si>
    <t>Gen5</t>
  </si>
  <si>
    <t>Gen6</t>
  </si>
  <si>
    <t>Gen7</t>
  </si>
  <si>
    <t>Gen8</t>
  </si>
  <si>
    <t>Gen9</t>
  </si>
  <si>
    <t>Generator</t>
  </si>
  <si>
    <t>H</t>
  </si>
  <si>
    <t>E ANGLE rad</t>
  </si>
  <si>
    <t>E ang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</si>
</sst>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CA74-521A-4EF9-8E99-F3EE393AACEC}">
  <dimension ref="B2:X15"/>
  <sheetViews>
    <sheetView tabSelected="1" workbookViewId="0">
      <selection activeCell="U3" sqref="U3:U12"/>
    </sheetView>
  </sheetViews>
  <sheetFormatPr defaultRowHeight="14.4" x14ac:dyDescent="0.3"/>
  <cols>
    <col min="1" max="6" width="8.88671875" style="1"/>
    <col min="7" max="7" width="7.109375" style="1" customWidth="1"/>
    <col min="8" max="8" width="41.21875" style="1" customWidth="1"/>
    <col min="9" max="9" width="14.88671875" style="1" customWidth="1"/>
    <col min="10" max="10" width="17" style="1" customWidth="1"/>
    <col min="11" max="11" width="9.109375" style="1" customWidth="1"/>
    <col min="12" max="12" width="8.88671875" style="1"/>
    <col min="13" max="13" width="6.21875" style="1" customWidth="1"/>
    <col min="14" max="14" width="18.88671875" style="1" customWidth="1"/>
    <col min="15" max="15" width="7.88671875" style="1" customWidth="1"/>
    <col min="16" max="16" width="8.33203125" style="1" customWidth="1"/>
    <col min="17" max="17" width="7.44140625" style="1" customWidth="1"/>
    <col min="18" max="18" width="15.44140625" style="1" customWidth="1"/>
    <col min="19" max="19" width="12.44140625" style="1" customWidth="1"/>
    <col min="20" max="20" width="12" style="1" customWidth="1"/>
    <col min="21" max="21" width="9.5546875" style="1" customWidth="1"/>
    <col min="22" max="22" width="12.33203125" style="1" customWidth="1"/>
    <col min="23" max="23" width="12.88671875" style="1" customWidth="1"/>
    <col min="24" max="16384" width="8.88671875" style="1"/>
  </cols>
  <sheetData>
    <row r="2" spans="2:24" x14ac:dyDescent="0.3">
      <c r="C2" s="1" t="s">
        <v>3</v>
      </c>
      <c r="D2" s="1" t="s">
        <v>0</v>
      </c>
      <c r="E2" s="1" t="s">
        <v>1</v>
      </c>
      <c r="F2" s="1" t="s">
        <v>4</v>
      </c>
      <c r="G2" s="1" t="s">
        <v>2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29</v>
      </c>
      <c r="U2" s="1" t="s">
        <v>30</v>
      </c>
      <c r="V2" s="1" t="s">
        <v>27</v>
      </c>
      <c r="W2" s="1" t="s">
        <v>12</v>
      </c>
      <c r="X2" s="1" t="s">
        <v>28</v>
      </c>
    </row>
    <row r="3" spans="2:24" x14ac:dyDescent="0.3">
      <c r="B3" s="1" t="s">
        <v>17</v>
      </c>
      <c r="C3" s="1">
        <v>30</v>
      </c>
      <c r="D3" s="1">
        <v>250</v>
      </c>
      <c r="E3" s="1">
        <v>149.54771423339801</v>
      </c>
      <c r="F3" s="1">
        <v>1.047500014305115</v>
      </c>
      <c r="G3" s="1">
        <v>-3.3013627572589659</v>
      </c>
      <c r="H3" s="1" t="str">
        <f>IMDIV(COMPLEX(D3, E3, "i"),100)</f>
        <v>2.5+1.49547714233398i</v>
      </c>
      <c r="I3" s="1" t="str">
        <f>COMPLEX(F3*COS(RADIANS(G3)), F3*SIN(RADIANS(G3)), "i")</f>
        <v>1.04576163271733-0.0603231921039201i</v>
      </c>
      <c r="J3" s="1" t="str">
        <f>COMPLEX(ROUND(IMREAL(H3), 4), ROUND(IMAGINARY(H3), 4))</f>
        <v>2.5+1.4955i</v>
      </c>
      <c r="K3" s="1" t="str">
        <f>COMPLEX(ROUND(IMREAL(I3), 4), ROUND(IMAGINARY(I3), 4))</f>
        <v>1.0458-0.0603i</v>
      </c>
      <c r="L3" s="1" t="str">
        <f>IMDIV(J3, K3)</f>
        <v>2.30041352141796+1.56264575955393i</v>
      </c>
      <c r="M3" s="1" t="str">
        <f>IMCONJUGATE(L3)</f>
        <v>2.30041352141796-1.56264575955393i</v>
      </c>
      <c r="N3" s="1" t="str">
        <f>COMPLEX(ROUND(IMREAL(M3), 4), ROUND(IMAGINARY(M3), 4))</f>
        <v>2.3004-1.5626i</v>
      </c>
      <c r="O3" s="1">
        <v>6.0000000000000001E-3</v>
      </c>
      <c r="P3" s="1" t="str">
        <f>COMPLEX(0, O3, "i")</f>
        <v>0.006i</v>
      </c>
      <c r="Q3" s="1" t="str">
        <f>IMSUM(K3,IMPRODUCT(N3,P3))</f>
        <v>1.0551756-0.0464976i</v>
      </c>
      <c r="R3" s="1" t="str">
        <f>COMPLEX(ROUND(IMREAL(Q3), 4), ROUND(IMAGINARY(Q3), 4))</f>
        <v>1.0552-0.0465i</v>
      </c>
      <c r="S3" s="2">
        <f>IMABS(R3)</f>
        <v>1.0562240718711158</v>
      </c>
      <c r="T3" s="2">
        <f xml:space="preserve"> (IMARGUMENT(R3))</f>
        <v>-4.4038983051618699E-2</v>
      </c>
      <c r="U3" s="2">
        <f>DEGREES(IMARGUMENT(R3))</f>
        <v>-2.5232478629059143</v>
      </c>
      <c r="V3" s="1" t="s">
        <v>17</v>
      </c>
      <c r="W3" s="1">
        <v>6.0000000000000001E-3</v>
      </c>
      <c r="X3" s="1">
        <v>42</v>
      </c>
    </row>
    <row r="4" spans="2:24" x14ac:dyDescent="0.3">
      <c r="B4" s="1" t="s">
        <v>19</v>
      </c>
      <c r="C4" s="1">
        <v>31</v>
      </c>
      <c r="D4" s="1">
        <v>510.1854248046875</v>
      </c>
      <c r="E4" s="1">
        <v>196.1340026855469</v>
      </c>
      <c r="F4" s="1">
        <v>0.98199999332427979</v>
      </c>
      <c r="G4" s="1">
        <v>0</v>
      </c>
      <c r="H4" s="1" t="str">
        <f t="shared" ref="H4:H15" si="0">IMDIV(COMPLEX(D4, E4, "i"),100)</f>
        <v>5.10185424804688+1.96134002685547i</v>
      </c>
      <c r="I4" s="1" t="str">
        <f t="shared" ref="I4:I15" si="1">COMPLEX(F4*COS(RADIANS(G4)), F4*SIN(RADIANS(G4)), "i")</f>
        <v>0.98199999332428</v>
      </c>
      <c r="J4" s="1" t="str">
        <f t="shared" ref="J4:J15" si="2">COMPLEX(ROUND(IMREAL(H4), 4), ROUND(IMAGINARY(H4), 4))</f>
        <v>5.1019+1.9613i</v>
      </c>
      <c r="K4" s="1" t="str">
        <f t="shared" ref="K4:K15" si="3">COMPLEX(ROUND(IMREAL(I4), 4), ROUND(IMAGINARY(I4), 4))</f>
        <v>0.982</v>
      </c>
      <c r="L4" s="1" t="str">
        <f t="shared" ref="L4:L15" si="4">IMDIV(J4, K4)</f>
        <v>5.19541751527495+1.99725050916497i</v>
      </c>
      <c r="M4" s="1" t="str">
        <f t="shared" ref="M4:M15" si="5">IMCONJUGATE(L4)</f>
        <v>5.19541751527495-1.99725050916497i</v>
      </c>
      <c r="N4" s="1" t="str">
        <f t="shared" ref="N4:N15" si="6">COMPLEX(ROUND(IMREAL(M4), 4), ROUND(IMAGINARY(M4), 4))</f>
        <v>5.1954-1.9973i</v>
      </c>
      <c r="O4" s="1">
        <v>6.9699999999999998E-2</v>
      </c>
      <c r="P4" s="1" t="str">
        <f t="shared" ref="P4:P15" si="7">COMPLEX(0, O4, "i")</f>
        <v>0.0697i</v>
      </c>
      <c r="Q4" s="1" t="str">
        <f t="shared" ref="Q4:Q15" si="8">IMSUM(K4,IMPRODUCT(N4,P4))</f>
        <v>1.12121181+0.36211938i</v>
      </c>
      <c r="R4" s="1" t="str">
        <f t="shared" ref="R4:R15" si="9">COMPLEX(ROUND(IMREAL(Q4), 4), ROUND(IMAGINARY(Q4), 4))</f>
        <v>1.1212+0.3621i</v>
      </c>
      <c r="S4" s="2">
        <f t="shared" ref="S4:S15" si="10">IMABS(R4)</f>
        <v>1.1782214774820565</v>
      </c>
      <c r="T4" s="2">
        <f t="shared" ref="T4:T15" si="11" xml:space="preserve"> (IMARGUMENT(R4))</f>
        <v>0.3123834611639536</v>
      </c>
      <c r="U4" s="2">
        <f t="shared" ref="U4:U12" si="12">DEGREES(IMARGUMENT(R4))</f>
        <v>17.8982539143834</v>
      </c>
      <c r="V4" s="1" t="s">
        <v>19</v>
      </c>
      <c r="W4" s="1">
        <v>6.9699999999999998E-2</v>
      </c>
      <c r="X4" s="1">
        <v>30.3</v>
      </c>
    </row>
    <row r="5" spans="2:24" x14ac:dyDescent="0.3">
      <c r="B5" s="1" t="s">
        <v>20</v>
      </c>
      <c r="C5" s="1">
        <v>32</v>
      </c>
      <c r="D5" s="1">
        <v>650</v>
      </c>
      <c r="E5" s="1">
        <v>208.7718200683594</v>
      </c>
      <c r="F5" s="1">
        <v>0.98309999704360962</v>
      </c>
      <c r="G5" s="1">
        <v>2.6028743155612579</v>
      </c>
      <c r="H5" s="1" t="str">
        <f t="shared" si="0"/>
        <v>6.5+2.08771820068359i</v>
      </c>
      <c r="I5" s="1" t="str">
        <f t="shared" si="1"/>
        <v>0.982085725739394+0.0446456211298776i</v>
      </c>
      <c r="J5" s="1" t="str">
        <f t="shared" si="2"/>
        <v>6.5+2.0877i</v>
      </c>
      <c r="K5" s="1" t="str">
        <f t="shared" si="3"/>
        <v>0.9821+0.0446i</v>
      </c>
      <c r="L5" s="1" t="str">
        <f t="shared" si="4"/>
        <v>6.70118705601642+1.82143066622713i</v>
      </c>
      <c r="M5" s="1" t="str">
        <f t="shared" si="5"/>
        <v>6.70118705601642-1.82143066622713i</v>
      </c>
      <c r="N5" s="1" t="str">
        <f t="shared" si="6"/>
        <v>6.7012-1.8214i</v>
      </c>
      <c r="O5" s="1">
        <v>5.3100000000000001E-2</v>
      </c>
      <c r="P5" s="1" t="str">
        <f t="shared" si="7"/>
        <v>0.0531i</v>
      </c>
      <c r="Q5" s="1" t="str">
        <f t="shared" si="8"/>
        <v>1.07881634+0.40043372i</v>
      </c>
      <c r="R5" s="1" t="str">
        <f t="shared" si="9"/>
        <v>1.0788+0.4004i</v>
      </c>
      <c r="S5" s="2">
        <f t="shared" si="10"/>
        <v>1.1507083036113017</v>
      </c>
      <c r="T5" s="2">
        <f t="shared" si="11"/>
        <v>0.35539381667551623</v>
      </c>
      <c r="U5" s="2">
        <f t="shared" si="12"/>
        <v>20.362565760553178</v>
      </c>
      <c r="V5" s="1" t="s">
        <v>20</v>
      </c>
      <c r="W5" s="1">
        <v>5.3100000000000001E-2</v>
      </c>
      <c r="X5" s="1">
        <v>35.799999999999997</v>
      </c>
    </row>
    <row r="6" spans="2:24" x14ac:dyDescent="0.3">
      <c r="B6" s="1" t="s">
        <v>21</v>
      </c>
      <c r="C6" s="1">
        <v>33</v>
      </c>
      <c r="D6" s="1">
        <v>632</v>
      </c>
      <c r="E6" s="1">
        <v>155.21205139160159</v>
      </c>
      <c r="F6" s="1">
        <v>0.99720001220703125</v>
      </c>
      <c r="G6" s="1">
        <v>4.3194009589454856</v>
      </c>
      <c r="H6" s="1" t="str">
        <f t="shared" si="0"/>
        <v>6.32+1.55212051391602i</v>
      </c>
      <c r="I6" s="1" t="str">
        <f t="shared" si="1"/>
        <v>0.994367652812465+0.075105495044855i</v>
      </c>
      <c r="J6" s="1" t="str">
        <f t="shared" si="2"/>
        <v>6.32+1.5521i</v>
      </c>
      <c r="K6" s="1" t="str">
        <f t="shared" si="3"/>
        <v>0.9944+0.0751i</v>
      </c>
      <c r="L6" s="1" t="str">
        <f t="shared" si="4"/>
        <v>6.43675715873047+1.07471795794383i</v>
      </c>
      <c r="M6" s="1" t="str">
        <f t="shared" si="5"/>
        <v>6.43675715873047-1.07471795794383i</v>
      </c>
      <c r="N6" s="1" t="str">
        <f t="shared" si="6"/>
        <v>6.4368-1.0747i</v>
      </c>
      <c r="O6" s="1">
        <v>4.36E-2</v>
      </c>
      <c r="P6" s="1" t="str">
        <f t="shared" si="7"/>
        <v>0.0436i</v>
      </c>
      <c r="Q6" s="1" t="str">
        <f t="shared" si="8"/>
        <v>1.04125692+0.35574448i</v>
      </c>
      <c r="R6" s="1" t="str">
        <f t="shared" si="9"/>
        <v>1.0413+0.3557i</v>
      </c>
      <c r="S6" s="2">
        <f t="shared" si="10"/>
        <v>1.1003763810624072</v>
      </c>
      <c r="T6" s="2">
        <f t="shared" si="11"/>
        <v>0.32916506388442507</v>
      </c>
      <c r="U6" s="2">
        <f t="shared" si="12"/>
        <v>18.859768923731675</v>
      </c>
      <c r="V6" s="1" t="s">
        <v>21</v>
      </c>
      <c r="W6" s="1">
        <v>4.36E-2</v>
      </c>
      <c r="X6" s="1">
        <v>28.6</v>
      </c>
    </row>
    <row r="7" spans="2:24" x14ac:dyDescent="0.3">
      <c r="B7" s="1" t="s">
        <v>22</v>
      </c>
      <c r="C7" s="1">
        <v>34</v>
      </c>
      <c r="D7" s="1">
        <v>508</v>
      </c>
      <c r="E7" s="1">
        <v>134.05982971191409</v>
      </c>
      <c r="F7" s="1">
        <v>1.0123000144958501</v>
      </c>
      <c r="G7" s="1">
        <v>8.3064064930640686</v>
      </c>
      <c r="H7" s="1" t="str">
        <f t="shared" si="0"/>
        <v>5.08+1.34059829711914i</v>
      </c>
      <c r="I7" s="1" t="str">
        <f t="shared" si="1"/>
        <v>1.00168062471931+0.146243787595336i</v>
      </c>
      <c r="J7" s="1" t="str">
        <f t="shared" si="2"/>
        <v>5.08+1.3406i</v>
      </c>
      <c r="K7" s="1" t="str">
        <f t="shared" si="3"/>
        <v>1.0017+0.1462i</v>
      </c>
      <c r="L7" s="1" t="str">
        <f t="shared" si="4"/>
        <v>5.15685853433155+0.585671640491891i</v>
      </c>
      <c r="M7" s="1" t="str">
        <f t="shared" si="5"/>
        <v>5.15685853433155-0.585671640491891i</v>
      </c>
      <c r="N7" s="1" t="str">
        <f t="shared" si="6"/>
        <v>5.1569-0.5857i</v>
      </c>
      <c r="O7" s="1">
        <v>0.13200000000000001</v>
      </c>
      <c r="P7" s="1" t="str">
        <f t="shared" si="7"/>
        <v>0.132i</v>
      </c>
      <c r="Q7" s="1" t="str">
        <f t="shared" si="8"/>
        <v>1.0790124+0.8269108i</v>
      </c>
      <c r="R7" s="1" t="str">
        <f t="shared" si="9"/>
        <v>1.079+0.8269i</v>
      </c>
      <c r="S7" s="2">
        <f t="shared" si="10"/>
        <v>1.3594133330227418</v>
      </c>
      <c r="T7" s="2">
        <f t="shared" si="11"/>
        <v>0.65388812910695271</v>
      </c>
      <c r="U7" s="2">
        <f t="shared" si="12"/>
        <v>37.465030071533867</v>
      </c>
      <c r="V7" s="1" t="s">
        <v>22</v>
      </c>
      <c r="W7" s="1">
        <v>0.13200000000000001</v>
      </c>
      <c r="X7" s="1">
        <v>26</v>
      </c>
    </row>
    <row r="8" spans="2:24" x14ac:dyDescent="0.3">
      <c r="B8" s="1" t="s">
        <v>23</v>
      </c>
      <c r="C8" s="1">
        <v>35</v>
      </c>
      <c r="D8" s="1">
        <v>650</v>
      </c>
      <c r="E8" s="1">
        <v>188.60234069824219</v>
      </c>
      <c r="F8" s="1">
        <v>1.049299955368042</v>
      </c>
      <c r="G8" s="1">
        <v>3.6175793849328119</v>
      </c>
      <c r="H8" s="1" t="str">
        <f t="shared" si="0"/>
        <v>6.5+1.88602340698242i</v>
      </c>
      <c r="I8" s="1" t="str">
        <f t="shared" si="1"/>
        <v>1.04720913725662+0.0662073952184925i</v>
      </c>
      <c r="J8" s="1" t="str">
        <f t="shared" si="2"/>
        <v>6.5+1.886i</v>
      </c>
      <c r="K8" s="1" t="str">
        <f t="shared" si="3"/>
        <v>1.0472+0.0662i</v>
      </c>
      <c r="L8" s="1" t="str">
        <f t="shared" si="4"/>
        <v>6.29572069027366+1.40300161411754i</v>
      </c>
      <c r="M8" s="1" t="str">
        <f t="shared" si="5"/>
        <v>6.29572069027366-1.40300161411754i</v>
      </c>
      <c r="N8" s="1" t="str">
        <f t="shared" si="6"/>
        <v>6.2957-1.403i</v>
      </c>
      <c r="O8" s="1">
        <v>0.05</v>
      </c>
      <c r="P8" s="1" t="str">
        <f t="shared" si="7"/>
        <v>0.05i</v>
      </c>
      <c r="Q8" s="1" t="str">
        <f t="shared" si="8"/>
        <v>1.11735+0.380985i</v>
      </c>
      <c r="R8" s="1" t="str">
        <f t="shared" si="9"/>
        <v>1.1174+0.381i</v>
      </c>
      <c r="S8" s="2">
        <f t="shared" si="10"/>
        <v>1.1805692525218501</v>
      </c>
      <c r="T8" s="2">
        <f t="shared" si="11"/>
        <v>0.32860783467678878</v>
      </c>
      <c r="U8" s="2">
        <f t="shared" si="12"/>
        <v>18.827842041912696</v>
      </c>
      <c r="V8" s="1" t="s">
        <v>23</v>
      </c>
      <c r="W8" s="1">
        <v>0.05</v>
      </c>
      <c r="X8" s="1">
        <v>34.799999999999997</v>
      </c>
    </row>
    <row r="9" spans="2:24" x14ac:dyDescent="0.3">
      <c r="B9" s="1" t="s">
        <v>24</v>
      </c>
      <c r="C9" s="1">
        <v>36</v>
      </c>
      <c r="D9" s="1">
        <v>560</v>
      </c>
      <c r="E9" s="1">
        <v>76.941902160644531</v>
      </c>
      <c r="F9" s="1">
        <v>1.0635000467300419</v>
      </c>
      <c r="G9" s="1">
        <v>5.5890033520566256</v>
      </c>
      <c r="H9" s="1" t="str">
        <f t="shared" si="0"/>
        <v>5.6+0.769419021606445i</v>
      </c>
      <c r="I9" s="1" t="str">
        <f t="shared" si="1"/>
        <v>1.05844428503985+0.103576275571559i</v>
      </c>
      <c r="J9" s="1" t="str">
        <f t="shared" si="2"/>
        <v>5.6+0.7694i</v>
      </c>
      <c r="K9" s="1" t="str">
        <f t="shared" si="3"/>
        <v>1.0584+0.1036i</v>
      </c>
      <c r="L9" s="1" t="str">
        <f t="shared" si="4"/>
        <v>5.3112730510185+0.207059818513307i</v>
      </c>
      <c r="M9" s="1" t="str">
        <f t="shared" si="5"/>
        <v>5.3112730510185-0.207059818513307i</v>
      </c>
      <c r="N9" s="1" t="str">
        <f t="shared" si="6"/>
        <v>5.3113-0.2071i</v>
      </c>
      <c r="O9" s="1">
        <v>4.9000000000000002E-2</v>
      </c>
      <c r="P9" s="1" t="str">
        <f t="shared" si="7"/>
        <v>0.049i</v>
      </c>
      <c r="Q9" s="1" t="str">
        <f t="shared" si="8"/>
        <v>1.0685479+0.3638537i</v>
      </c>
      <c r="R9" s="1" t="str">
        <f t="shared" si="9"/>
        <v>1.0685+0.3639i</v>
      </c>
      <c r="S9" s="2">
        <f t="shared" si="10"/>
        <v>1.1287672302117917</v>
      </c>
      <c r="T9" s="2">
        <f t="shared" si="11"/>
        <v>0.32825015469527186</v>
      </c>
      <c r="U9" s="2">
        <f t="shared" si="12"/>
        <v>18.807348488555462</v>
      </c>
      <c r="V9" s="1" t="s">
        <v>24</v>
      </c>
      <c r="W9" s="1">
        <v>4.9000000000000002E-2</v>
      </c>
      <c r="X9" s="1">
        <v>26.4</v>
      </c>
    </row>
    <row r="10" spans="2:24" x14ac:dyDescent="0.3">
      <c r="B10" s="1" t="s">
        <v>25</v>
      </c>
      <c r="C10" s="1">
        <v>37</v>
      </c>
      <c r="D10" s="1">
        <v>540</v>
      </c>
      <c r="E10" s="1">
        <v>2.7760486602783199</v>
      </c>
      <c r="F10" s="1">
        <v>1.0277999639511111</v>
      </c>
      <c r="G10" s="1">
        <v>2.4563915173002262</v>
      </c>
      <c r="H10" s="1" t="str">
        <f t="shared" si="0"/>
        <v>5.4+0.0277604866027832i</v>
      </c>
      <c r="I10" s="1" t="str">
        <f t="shared" si="1"/>
        <v>1.02685555086884+0.0440504659198028i</v>
      </c>
      <c r="J10" s="1" t="str">
        <f t="shared" si="2"/>
        <v>5.4+0.0278i</v>
      </c>
      <c r="K10" s="1" t="str">
        <f t="shared" si="3"/>
        <v>1.0269+0.0441i</v>
      </c>
      <c r="L10" s="1" t="str">
        <f t="shared" si="4"/>
        <v>5.25002534387161-0.198389441683453i</v>
      </c>
      <c r="M10" s="1" t="str">
        <f t="shared" si="5"/>
        <v>5.25002534387161+0.198389441683453i</v>
      </c>
      <c r="N10" s="1" t="str">
        <f t="shared" si="6"/>
        <v>5.25+0.1984i</v>
      </c>
      <c r="O10" s="1">
        <v>5.7000000000000002E-2</v>
      </c>
      <c r="P10" s="1" t="str">
        <f t="shared" si="7"/>
        <v>0.057i</v>
      </c>
      <c r="Q10" s="1" t="str">
        <f t="shared" si="8"/>
        <v>1.0155912+0.34335i</v>
      </c>
      <c r="R10" s="1" t="str">
        <f t="shared" si="9"/>
        <v>1.0156+0.3434i</v>
      </c>
      <c r="S10" s="2">
        <f t="shared" si="10"/>
        <v>1.0720853137693847</v>
      </c>
      <c r="T10" s="2">
        <f t="shared" si="11"/>
        <v>0.3260570583618369</v>
      </c>
      <c r="U10" s="2">
        <f t="shared" si="12"/>
        <v>18.681693324584021</v>
      </c>
      <c r="V10" s="1" t="s">
        <v>25</v>
      </c>
      <c r="W10" s="1">
        <v>5.7000000000000002E-2</v>
      </c>
      <c r="X10" s="1">
        <v>24.3</v>
      </c>
    </row>
    <row r="11" spans="2:24" x14ac:dyDescent="0.3">
      <c r="B11" s="1" t="s">
        <v>26</v>
      </c>
      <c r="C11" s="1">
        <v>38</v>
      </c>
      <c r="D11" s="1">
        <v>830</v>
      </c>
      <c r="E11" s="1">
        <v>25.355117797851559</v>
      </c>
      <c r="F11" s="1">
        <v>1.02649998664856</v>
      </c>
      <c r="G11" s="1">
        <v>7.8533890737210958</v>
      </c>
      <c r="H11" s="1" t="str">
        <f t="shared" si="0"/>
        <v>8.3+0.253551177978516i</v>
      </c>
      <c r="I11" s="1" t="str">
        <f t="shared" si="1"/>
        <v>1.01687239045445+0.140259631116541i</v>
      </c>
      <c r="J11" s="1" t="str">
        <f t="shared" si="2"/>
        <v>8.3+0.2536i</v>
      </c>
      <c r="K11" s="1" t="str">
        <f t="shared" si="3"/>
        <v>1.0169+0.1403i</v>
      </c>
      <c r="L11" s="1" t="str">
        <f t="shared" si="4"/>
        <v>8.04336097346508-0.860343735448078i</v>
      </c>
      <c r="M11" s="1" t="str">
        <f t="shared" si="5"/>
        <v>8.04336097346508+0.860343735448078i</v>
      </c>
      <c r="N11" s="1" t="str">
        <f t="shared" si="6"/>
        <v>8.0434+0.8603i</v>
      </c>
      <c r="O11" s="1">
        <v>5.7000000000000002E-2</v>
      </c>
      <c r="P11" s="1" t="str">
        <f t="shared" si="7"/>
        <v>0.057i</v>
      </c>
      <c r="Q11" s="1" t="str">
        <f t="shared" si="8"/>
        <v>0.9678629+0.5987738i</v>
      </c>
      <c r="R11" s="1" t="str">
        <f t="shared" si="9"/>
        <v>0.9679+0.5988i</v>
      </c>
      <c r="S11" s="2">
        <f t="shared" si="10"/>
        <v>1.1381528236577019</v>
      </c>
      <c r="T11" s="2">
        <f t="shared" si="11"/>
        <v>0.55402646043202841</v>
      </c>
      <c r="U11" s="2">
        <f t="shared" si="12"/>
        <v>31.743377921326928</v>
      </c>
      <c r="V11" s="1" t="s">
        <v>26</v>
      </c>
      <c r="W11" s="1">
        <v>5.7000000000000002E-2</v>
      </c>
      <c r="X11" s="1">
        <v>34.5</v>
      </c>
    </row>
    <row r="12" spans="2:24" x14ac:dyDescent="0.3">
      <c r="B12" s="1" t="s">
        <v>18</v>
      </c>
      <c r="C12" s="1">
        <v>39</v>
      </c>
      <c r="D12" s="1">
        <v>10.18332481384277</v>
      </c>
      <c r="E12" s="1">
        <v>-27.963871002197269</v>
      </c>
      <c r="F12" s="1">
        <v>1.029999971389771</v>
      </c>
      <c r="G12" s="1">
        <v>-10.03392611247402</v>
      </c>
      <c r="H12" s="1" t="str">
        <f t="shared" si="0"/>
        <v>0.101833248138428-0.279638710021973i</v>
      </c>
      <c r="I12" s="1" t="str">
        <f t="shared" si="1"/>
        <v>1.01424587401698-0.179458207119241i</v>
      </c>
      <c r="J12" s="1" t="str">
        <f t="shared" si="2"/>
        <v>0.1018-0.2796i</v>
      </c>
      <c r="K12" s="1" t="str">
        <f t="shared" si="3"/>
        <v>1.0142-0.1795i</v>
      </c>
      <c r="L12" s="1" t="str">
        <f t="shared" si="4"/>
        <v>0.144636683543549-0.250086487185893i</v>
      </c>
      <c r="M12" s="1" t="str">
        <f t="shared" si="5"/>
        <v>0.144636683543549+0.250086487185893i</v>
      </c>
      <c r="N12" s="1" t="str">
        <f t="shared" si="6"/>
        <v>0.1446+0.2501i</v>
      </c>
      <c r="O12" s="1">
        <v>3.1E-2</v>
      </c>
      <c r="P12" s="1" t="str">
        <f t="shared" si="7"/>
        <v>0.031i</v>
      </c>
      <c r="Q12" s="1" t="str">
        <f t="shared" si="8"/>
        <v>1.0064469-0.1750174i</v>
      </c>
      <c r="R12" s="1" t="str">
        <f t="shared" si="9"/>
        <v>1.0064-0.175i</v>
      </c>
      <c r="S12" s="2">
        <f t="shared" si="10"/>
        <v>1.021501815955312</v>
      </c>
      <c r="T12" s="2">
        <f t="shared" si="11"/>
        <v>-0.17216565433642347</v>
      </c>
      <c r="U12" s="2">
        <f t="shared" si="12"/>
        <v>-9.864365370585265</v>
      </c>
      <c r="V12" s="1" t="s">
        <v>18</v>
      </c>
      <c r="W12" s="1">
        <v>3.1E-2</v>
      </c>
      <c r="X12" s="1">
        <v>500</v>
      </c>
    </row>
    <row r="13" spans="2:24" x14ac:dyDescent="0.3">
      <c r="C13" s="1">
        <v>1</v>
      </c>
      <c r="D13" s="1">
        <v>71.599999999999994</v>
      </c>
      <c r="E13" s="1">
        <v>27</v>
      </c>
      <c r="F13" s="1">
        <v>1.04</v>
      </c>
      <c r="G13" s="1">
        <v>0</v>
      </c>
      <c r="H13" s="1" t="str">
        <f t="shared" si="0"/>
        <v>0.716+0.27i</v>
      </c>
      <c r="I13" s="1" t="str">
        <f t="shared" si="1"/>
        <v>1.04</v>
      </c>
      <c r="J13" s="1" t="str">
        <f t="shared" si="2"/>
        <v>0.716+0.27i</v>
      </c>
      <c r="K13" s="1" t="str">
        <f t="shared" si="3"/>
        <v>1.04</v>
      </c>
      <c r="L13" s="1" t="str">
        <f t="shared" si="4"/>
        <v>0.688461538461538+0.259615384615385i</v>
      </c>
      <c r="M13" s="1" t="str">
        <f t="shared" si="5"/>
        <v>0.688461538461538-0.259615384615385i</v>
      </c>
      <c r="N13" s="1" t="str">
        <f t="shared" si="6"/>
        <v>0.6885-0.2596i</v>
      </c>
      <c r="O13" s="1">
        <v>6.8000000000000005E-2</v>
      </c>
      <c r="P13" s="1" t="str">
        <f t="shared" si="7"/>
        <v>0.068i</v>
      </c>
      <c r="Q13" s="1" t="str">
        <f t="shared" si="8"/>
        <v>1.0576528+0.046818i</v>
      </c>
      <c r="R13" s="1" t="str">
        <f t="shared" si="9"/>
        <v>1.0577+0.0468i</v>
      </c>
      <c r="S13" s="2">
        <f t="shared" si="10"/>
        <v>1.0587348723830721</v>
      </c>
      <c r="T13" s="2">
        <f t="shared" si="11"/>
        <v>4.4218109351174241E-2</v>
      </c>
      <c r="U13" s="2"/>
    </row>
    <row r="14" spans="2:24" x14ac:dyDescent="0.3">
      <c r="C14" s="1">
        <v>2</v>
      </c>
      <c r="D14" s="1">
        <v>163</v>
      </c>
      <c r="E14" s="1">
        <v>6.7</v>
      </c>
      <c r="F14" s="1">
        <v>1.0249999999999999</v>
      </c>
      <c r="G14" s="1">
        <v>9.3000000000000007</v>
      </c>
      <c r="H14" s="1" t="str">
        <f t="shared" si="0"/>
        <v>1.63+0.067i</v>
      </c>
      <c r="I14" s="1" t="str">
        <f t="shared" si="1"/>
        <v>1.01152710931698+0.165643916630945i</v>
      </c>
      <c r="J14" s="1" t="str">
        <f t="shared" si="2"/>
        <v>1.63+0.067i</v>
      </c>
      <c r="K14" s="1" t="str">
        <f t="shared" si="3"/>
        <v>1.0115+0.1656i</v>
      </c>
      <c r="L14" s="1" t="str">
        <f t="shared" si="4"/>
        <v>1.57996414868509-0.19242912804968i</v>
      </c>
      <c r="M14" s="1" t="str">
        <f t="shared" si="5"/>
        <v>1.57996414868509+0.19242912804968i</v>
      </c>
      <c r="N14" s="1" t="str">
        <f t="shared" si="6"/>
        <v>1.58+0.1924i</v>
      </c>
      <c r="O14" s="1">
        <v>0.1198</v>
      </c>
      <c r="P14" s="1" t="str">
        <f t="shared" si="7"/>
        <v>0.1198i</v>
      </c>
      <c r="Q14" s="1" t="str">
        <f t="shared" si="8"/>
        <v>0.98845048+0.354884i</v>
      </c>
      <c r="R14" s="1" t="str">
        <f t="shared" si="9"/>
        <v>0.9885+0.3549i</v>
      </c>
      <c r="S14" s="2">
        <f t="shared" si="10"/>
        <v>1.0502791343257276</v>
      </c>
      <c r="T14" s="2">
        <f t="shared" si="11"/>
        <v>0.34469556918358252</v>
      </c>
      <c r="U14" s="2"/>
    </row>
    <row r="15" spans="2:24" x14ac:dyDescent="0.3">
      <c r="C15" s="1">
        <v>3</v>
      </c>
      <c r="D15" s="1">
        <v>85</v>
      </c>
      <c r="E15" s="1">
        <v>-10.9</v>
      </c>
      <c r="F15" s="1">
        <v>1.0249999999999999</v>
      </c>
      <c r="G15" s="1">
        <v>4.7</v>
      </c>
      <c r="H15" s="1" t="str">
        <f t="shared" si="0"/>
        <v>0.85-0.109i</v>
      </c>
      <c r="I15" s="1" t="str">
        <f t="shared" si="1"/>
        <v>1.02155332148849+0.0839869713457919i</v>
      </c>
      <c r="J15" s="1" t="str">
        <f t="shared" si="2"/>
        <v>0.85-0.109i</v>
      </c>
      <c r="K15" s="1" t="str">
        <f t="shared" si="3"/>
        <v>1.0216+0.084i</v>
      </c>
      <c r="L15" s="1" t="str">
        <f t="shared" si="4"/>
        <v>0.817726803162959-0.173932117722874i</v>
      </c>
      <c r="M15" s="1" t="str">
        <f t="shared" si="5"/>
        <v>0.817726803162959+0.173932117722874i</v>
      </c>
      <c r="N15" s="1" t="str">
        <f t="shared" si="6"/>
        <v>0.8177+0.1739i</v>
      </c>
      <c r="O15" s="1">
        <v>0.18129999999999999</v>
      </c>
      <c r="P15" s="1" t="str">
        <f t="shared" si="7"/>
        <v>0.1813i</v>
      </c>
      <c r="Q15" s="1" t="str">
        <f t="shared" si="8"/>
        <v>0.99007193+0.23224901i</v>
      </c>
      <c r="R15" s="1" t="str">
        <f t="shared" si="9"/>
        <v>0.9901+0.2322i</v>
      </c>
      <c r="S15" s="2">
        <f t="shared" si="10"/>
        <v>1.016963544086021</v>
      </c>
      <c r="T15" s="2">
        <f t="shared" si="11"/>
        <v>0.23035870595165611</v>
      </c>
      <c r="U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2025-12-20T02:53:42Z</dcterms:created>
  <dcterms:modified xsi:type="dcterms:W3CDTF">2026-01-20T18:28:42Z</dcterms:modified>
</cp:coreProperties>
</file>