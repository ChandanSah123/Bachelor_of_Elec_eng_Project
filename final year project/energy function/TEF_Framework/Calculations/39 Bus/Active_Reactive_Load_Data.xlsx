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Acer\Desktop\final year project\energy function\TEF_Framework\Calculations\39 Bus\"/>
    </mc:Choice>
  </mc:AlternateContent>
  <xr:revisionPtr revIDLastSave="0" documentId="13_ncr:1_{D4E77F0C-43B8-441B-8D2A-AB1B72194734}" xr6:coauthVersionLast="36" xr6:coauthVersionMax="36" xr10:uidLastSave="{00000000-0000-0000-0000-000000000000}"/>
  <bookViews>
    <workbookView xWindow="0" yWindow="0" windowWidth="23040" windowHeight="9360" xr2:uid="{00000000-000D-0000-FFFF-FFFF00000000}"/>
  </bookViews>
  <sheets>
    <sheet name="Load Data" sheetId="1" r:id="rId1"/>
  </sheets>
  <calcPr calcId="162913"/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2" i="1"/>
  <c r="F2" i="1"/>
  <c r="D2" i="1"/>
  <c r="G2" i="1"/>
  <c r="G35" i="1"/>
  <c r="D35" i="1"/>
  <c r="F35" i="1"/>
  <c r="G34" i="1"/>
  <c r="D34" i="1"/>
  <c r="F34" i="1" s="1"/>
  <c r="G33" i="1"/>
  <c r="D33" i="1"/>
  <c r="F33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</calcChain>
</file>

<file path=xl/sharedStrings.xml><?xml version="1.0" encoding="utf-8"?>
<sst xmlns="http://schemas.openxmlformats.org/spreadsheetml/2006/main" count="27" uniqueCount="27">
  <si>
    <t>Bus</t>
  </si>
  <si>
    <t>P (pu)</t>
  </si>
  <si>
    <t>Q (pu)</t>
  </si>
  <si>
    <t>SL</t>
  </si>
  <si>
    <t>Voltage V</t>
  </si>
  <si>
    <t>Conjugate SL</t>
  </si>
  <si>
    <t>Yli</t>
  </si>
  <si>
    <t>ROUND YLI</t>
  </si>
  <si>
    <t>3.034-0.0226j</t>
  </si>
  <si>
    <t>4.9612-1.8257j</t>
  </si>
  <si>
    <t>2.3521-0.8451j</t>
  </si>
  <si>
    <t>5.262-1.7742j</t>
  </si>
  <si>
    <t>0.075-0.8796j</t>
  </si>
  <si>
    <t>3.1037-1.4839j</t>
  </si>
  <si>
    <t>3.0903-0.3034j</t>
  </si>
  <si>
    <t>1.4867-0.2823j</t>
  </si>
  <si>
    <t>6.392-1.0484j</t>
  </si>
  <si>
    <t>2.5737-1.0802j</t>
  </si>
  <si>
    <t>2.2673-0.775j</t>
  </si>
  <si>
    <t>2.8681+0.855j</t>
  </si>
  <si>
    <t>2.0027-0.422j</t>
  </si>
  <si>
    <t>1.2557-0.1536j</t>
  </si>
  <si>
    <t>2.6095-0.7011j</t>
  </si>
  <si>
    <t>1.8681-0.2503j</t>
  </si>
  <si>
    <t>2.5719-0.244j</t>
  </si>
  <si>
    <t>0.0838-0.0419j</t>
  </si>
  <si>
    <t>10.4063-2.3565j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</si>
</sst>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"/>
  <sheetViews>
    <sheetView tabSelected="1" workbookViewId="0">
      <selection activeCell="E13" sqref="A13:XFD13"/>
    </sheetView>
  </sheetViews>
  <sheetFormatPr defaultRowHeight="14.4" x14ac:dyDescent="0.3"/>
  <cols>
    <col min="1" max="1" width="8.88671875" style="1"/>
    <col min="2" max="2" width="13.5546875" style="1" customWidth="1"/>
    <col min="3" max="3" width="22.6640625" style="1" customWidth="1"/>
    <col min="4" max="4" width="14.109375" style="1" customWidth="1"/>
    <col min="5" max="5" width="12.77734375" style="1" customWidth="1"/>
    <col min="6" max="6" width="16.44140625" style="1" customWidth="1"/>
    <col min="7" max="7" width="35" style="1" customWidth="1"/>
    <col min="8" max="8" width="26.77734375" style="1" customWidth="1"/>
    <col min="9" max="12" width="8.88671875" style="1"/>
    <col min="13" max="13" width="15.88671875" style="1" customWidth="1"/>
    <col min="14" max="16384" width="8.88671875" style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3" x14ac:dyDescent="0.3">
      <c r="A2" s="1">
        <v>1</v>
      </c>
      <c r="B2" s="1">
        <v>0</v>
      </c>
      <c r="C2" s="1">
        <v>0</v>
      </c>
      <c r="D2" s="1" t="str">
        <f>COMPLEX(B2,C2,"j")</f>
        <v>0</v>
      </c>
      <c r="E2" s="1">
        <v>1.0474000000000001</v>
      </c>
      <c r="F2" s="1" t="str">
        <f>IMCONJUGATE(D2)</f>
        <v>0</v>
      </c>
      <c r="G2" s="1" t="str">
        <f>IMDIV(F2,E2*E2)</f>
        <v>0</v>
      </c>
      <c r="H2" s="1" t="str">
        <f>COMPLEX(ROUND(IMREAL(G2), 4), ROUND(IMAGINARY(G2), 4),"j")</f>
        <v>0</v>
      </c>
    </row>
    <row r="3" spans="1:13" x14ac:dyDescent="0.3">
      <c r="A3" s="1">
        <v>2</v>
      </c>
      <c r="B3" s="1">
        <v>0</v>
      </c>
      <c r="C3" s="1">
        <v>0</v>
      </c>
      <c r="D3" s="1" t="str">
        <f t="shared" ref="D3:D35" si="0">COMPLEX(B3,C3,"j")</f>
        <v>0</v>
      </c>
      <c r="E3" s="1">
        <v>1.0487</v>
      </c>
      <c r="F3" s="1" t="str">
        <f t="shared" ref="F3:F35" si="1">IMCONJUGATE(D3)</f>
        <v>0</v>
      </c>
      <c r="G3" s="1" t="str">
        <f t="shared" ref="G3:G35" si="2">IMDIV(F3,E3*E3)</f>
        <v>0</v>
      </c>
      <c r="H3" s="1" t="str">
        <f t="shared" ref="H3:H35" si="3">COMPLEX(ROUND(IMREAL(G3), 4), ROUND(IMAGINARY(G3), 4),"j")</f>
        <v>0</v>
      </c>
    </row>
    <row r="4" spans="1:13" x14ac:dyDescent="0.3">
      <c r="A4" s="1">
        <v>3</v>
      </c>
      <c r="B4" s="1">
        <v>3.22</v>
      </c>
      <c r="C4" s="1">
        <v>2.4E-2</v>
      </c>
      <c r="D4" s="1" t="str">
        <f t="shared" si="0"/>
        <v>3.22+0.024j</v>
      </c>
      <c r="E4" s="1">
        <v>1.0302</v>
      </c>
      <c r="F4" s="1" t="str">
        <f t="shared" si="1"/>
        <v>3.22-0.024j</v>
      </c>
      <c r="G4" s="1" t="str">
        <f t="shared" si="2"/>
        <v>3.03398046817598-0.0226135190174607j</v>
      </c>
      <c r="H4" s="1" t="str">
        <f t="shared" si="3"/>
        <v>3.034-0.0226j</v>
      </c>
    </row>
    <row r="5" spans="1:13" x14ac:dyDescent="0.3">
      <c r="A5" s="1">
        <v>4</v>
      </c>
      <c r="B5" s="1">
        <v>5</v>
      </c>
      <c r="C5" s="1">
        <v>1.84</v>
      </c>
      <c r="D5" s="1" t="str">
        <f t="shared" si="0"/>
        <v>5+1.84j</v>
      </c>
      <c r="E5" s="1">
        <v>1.0039</v>
      </c>
      <c r="F5" s="1" t="str">
        <f t="shared" si="1"/>
        <v>5-1.84j</v>
      </c>
      <c r="G5" s="1" t="str">
        <f t="shared" si="2"/>
        <v>4.96122696937666-1.82573152473061j</v>
      </c>
      <c r="H5" s="1" t="str">
        <f t="shared" si="3"/>
        <v>4.9612-1.8257j</v>
      </c>
    </row>
    <row r="6" spans="1:13" x14ac:dyDescent="0.3">
      <c r="A6" s="1">
        <v>5</v>
      </c>
      <c r="B6" s="1">
        <v>0</v>
      </c>
      <c r="C6" s="1">
        <v>0</v>
      </c>
      <c r="D6" s="1" t="str">
        <f t="shared" si="0"/>
        <v>0</v>
      </c>
      <c r="E6" s="1">
        <v>1.0053000000000001</v>
      </c>
      <c r="F6" s="1" t="str">
        <f t="shared" si="1"/>
        <v>0</v>
      </c>
      <c r="G6" s="1" t="str">
        <f t="shared" si="2"/>
        <v>0</v>
      </c>
      <c r="H6" s="1" t="str">
        <f t="shared" si="3"/>
        <v>0</v>
      </c>
    </row>
    <row r="7" spans="1:13" x14ac:dyDescent="0.3">
      <c r="A7" s="1">
        <v>6</v>
      </c>
      <c r="B7" s="1">
        <v>0</v>
      </c>
      <c r="C7" s="1">
        <v>0</v>
      </c>
      <c r="D7" s="1" t="str">
        <f t="shared" si="0"/>
        <v>0</v>
      </c>
      <c r="E7" s="1">
        <v>1.0077</v>
      </c>
      <c r="F7" s="1" t="str">
        <f t="shared" si="1"/>
        <v>0</v>
      </c>
      <c r="G7" s="1" t="str">
        <f t="shared" si="2"/>
        <v>0</v>
      </c>
      <c r="H7" s="1" t="str">
        <f t="shared" si="3"/>
        <v>0</v>
      </c>
    </row>
    <row r="8" spans="1:13" x14ac:dyDescent="0.3">
      <c r="A8" s="1">
        <v>7</v>
      </c>
      <c r="B8" s="1">
        <v>2.3380000000000001</v>
      </c>
      <c r="C8" s="1">
        <v>0.84</v>
      </c>
      <c r="D8" s="1" t="str">
        <f t="shared" si="0"/>
        <v>2.338+0.84j</v>
      </c>
      <c r="E8" s="1">
        <v>0.997</v>
      </c>
      <c r="F8" s="1" t="str">
        <f t="shared" si="1"/>
        <v>2.338-0.84j</v>
      </c>
      <c r="G8" s="1" t="str">
        <f t="shared" si="2"/>
        <v>2.35209137945431-0.845062771061429j</v>
      </c>
      <c r="H8" s="1" t="str">
        <f t="shared" si="3"/>
        <v>2.3521-0.8451j</v>
      </c>
      <c r="L8" s="1">
        <v>1</v>
      </c>
      <c r="M8" s="1">
        <v>0</v>
      </c>
    </row>
    <row r="9" spans="1:13" x14ac:dyDescent="0.3">
      <c r="A9" s="1">
        <v>8</v>
      </c>
      <c r="B9" s="1">
        <v>5.22</v>
      </c>
      <c r="C9" s="1">
        <v>1.76</v>
      </c>
      <c r="D9" s="1" t="str">
        <f t="shared" si="0"/>
        <v>5.22+1.76j</v>
      </c>
      <c r="E9" s="1">
        <v>0.996</v>
      </c>
      <c r="F9" s="1" t="str">
        <f t="shared" si="1"/>
        <v>5.22-1.76j</v>
      </c>
      <c r="G9" s="1" t="str">
        <f t="shared" si="2"/>
        <v>5.26201190303382-1.77416493282366j</v>
      </c>
      <c r="H9" s="1" t="str">
        <f t="shared" si="3"/>
        <v>5.262-1.7742j</v>
      </c>
      <c r="L9" s="1">
        <v>2</v>
      </c>
      <c r="M9" s="1">
        <v>0</v>
      </c>
    </row>
    <row r="10" spans="1:13" x14ac:dyDescent="0.3">
      <c r="A10" s="1">
        <v>9</v>
      </c>
      <c r="B10" s="1">
        <v>0</v>
      </c>
      <c r="C10" s="1">
        <v>0</v>
      </c>
      <c r="D10" s="1" t="str">
        <f t="shared" si="0"/>
        <v>0</v>
      </c>
      <c r="E10" s="1">
        <v>1.0282</v>
      </c>
      <c r="F10" s="1" t="str">
        <f t="shared" si="1"/>
        <v>0</v>
      </c>
      <c r="G10" s="1" t="str">
        <f t="shared" si="2"/>
        <v>0</v>
      </c>
      <c r="H10" s="1" t="str">
        <f t="shared" si="3"/>
        <v>0</v>
      </c>
      <c r="L10" s="1">
        <v>3</v>
      </c>
      <c r="M10" s="1" t="s">
        <v>8</v>
      </c>
    </row>
    <row r="11" spans="1:13" x14ac:dyDescent="0.3">
      <c r="A11" s="1">
        <v>10</v>
      </c>
      <c r="B11" s="1">
        <v>0</v>
      </c>
      <c r="C11" s="1">
        <v>0</v>
      </c>
      <c r="D11" s="1" t="str">
        <f t="shared" si="0"/>
        <v>0</v>
      </c>
      <c r="E11" s="1">
        <v>1.0172000000000001</v>
      </c>
      <c r="F11" s="1" t="str">
        <f t="shared" si="1"/>
        <v>0</v>
      </c>
      <c r="G11" s="1" t="str">
        <f t="shared" si="2"/>
        <v>0</v>
      </c>
      <c r="H11" s="1" t="str">
        <f t="shared" si="3"/>
        <v>0</v>
      </c>
      <c r="L11" s="1">
        <v>4</v>
      </c>
      <c r="M11" s="1" t="s">
        <v>9</v>
      </c>
    </row>
    <row r="12" spans="1:13" x14ac:dyDescent="0.3">
      <c r="A12" s="1">
        <v>11</v>
      </c>
      <c r="B12" s="1">
        <v>0</v>
      </c>
      <c r="C12" s="1">
        <v>0</v>
      </c>
      <c r="D12" s="1" t="str">
        <f t="shared" si="0"/>
        <v>0</v>
      </c>
      <c r="E12" s="1">
        <v>1.0126999999999999</v>
      </c>
      <c r="F12" s="1" t="str">
        <f t="shared" si="1"/>
        <v>0</v>
      </c>
      <c r="G12" s="1" t="str">
        <f t="shared" si="2"/>
        <v>0</v>
      </c>
      <c r="H12" s="1" t="str">
        <f t="shared" si="3"/>
        <v>0</v>
      </c>
      <c r="L12" s="1">
        <v>5</v>
      </c>
      <c r="M12" s="1">
        <v>0</v>
      </c>
    </row>
    <row r="13" spans="1:13" x14ac:dyDescent="0.3">
      <c r="A13" s="1">
        <v>12</v>
      </c>
      <c r="B13" s="1">
        <v>7.4999999999999997E-2</v>
      </c>
      <c r="C13" s="1">
        <v>0.88</v>
      </c>
      <c r="D13" s="1" t="str">
        <f t="shared" si="0"/>
        <v>0.075+0.88j</v>
      </c>
      <c r="E13" s="1">
        <v>1.0002</v>
      </c>
      <c r="F13" s="1" t="str">
        <f t="shared" si="1"/>
        <v>0.075-0.88j</v>
      </c>
      <c r="G13" s="1" t="str">
        <f t="shared" si="2"/>
        <v>0.0749700089976006-0.879648105571847j</v>
      </c>
      <c r="H13" s="1" t="str">
        <f t="shared" si="3"/>
        <v>0.075-0.8796j</v>
      </c>
      <c r="L13" s="1">
        <v>6</v>
      </c>
      <c r="M13" s="1">
        <v>0</v>
      </c>
    </row>
    <row r="14" spans="1:13" x14ac:dyDescent="0.3">
      <c r="A14" s="1">
        <v>13</v>
      </c>
      <c r="B14" s="1">
        <v>0</v>
      </c>
      <c r="C14" s="1">
        <v>0</v>
      </c>
      <c r="D14" s="1" t="str">
        <f t="shared" si="0"/>
        <v>0</v>
      </c>
      <c r="E14" s="1">
        <v>1.0143</v>
      </c>
      <c r="F14" s="1" t="str">
        <f t="shared" si="1"/>
        <v>0</v>
      </c>
      <c r="G14" s="1" t="str">
        <f t="shared" si="2"/>
        <v>0</v>
      </c>
      <c r="H14" s="1" t="str">
        <f t="shared" si="3"/>
        <v>0</v>
      </c>
      <c r="L14" s="1">
        <v>7</v>
      </c>
      <c r="M14" s="1" t="s">
        <v>10</v>
      </c>
    </row>
    <row r="15" spans="1:13" x14ac:dyDescent="0.3">
      <c r="A15" s="1">
        <v>14</v>
      </c>
      <c r="B15" s="1">
        <v>0</v>
      </c>
      <c r="C15" s="1">
        <v>0</v>
      </c>
      <c r="D15" s="1" t="str">
        <f t="shared" si="0"/>
        <v>0</v>
      </c>
      <c r="E15" s="1">
        <v>1.0117</v>
      </c>
      <c r="F15" s="1" t="str">
        <f t="shared" si="1"/>
        <v>0</v>
      </c>
      <c r="G15" s="1" t="str">
        <f t="shared" si="2"/>
        <v>0</v>
      </c>
      <c r="H15" s="1" t="str">
        <f t="shared" si="3"/>
        <v>0</v>
      </c>
      <c r="L15" s="1">
        <v>8</v>
      </c>
      <c r="M15" s="1" t="s">
        <v>11</v>
      </c>
    </row>
    <row r="16" spans="1:13" x14ac:dyDescent="0.3">
      <c r="A16" s="1">
        <v>15</v>
      </c>
      <c r="B16" s="1">
        <v>3.2</v>
      </c>
      <c r="C16" s="1">
        <v>1.53</v>
      </c>
      <c r="D16" s="1" t="str">
        <f t="shared" si="0"/>
        <v>3.2+1.53j</v>
      </c>
      <c r="E16" s="1">
        <v>1.0154000000000001</v>
      </c>
      <c r="F16" s="1" t="str">
        <f t="shared" si="1"/>
        <v>3.2-1.53j</v>
      </c>
      <c r="G16" s="1" t="str">
        <f t="shared" si="2"/>
        <v>3.10367087060179-1.48394263500648j</v>
      </c>
      <c r="H16" s="1" t="str">
        <f t="shared" si="3"/>
        <v>3.1037-1.4839j</v>
      </c>
      <c r="L16" s="1">
        <v>9</v>
      </c>
      <c r="M16" s="1">
        <v>0</v>
      </c>
    </row>
    <row r="17" spans="1:13" x14ac:dyDescent="0.3">
      <c r="A17" s="1">
        <v>16</v>
      </c>
      <c r="B17" s="1">
        <v>3.29</v>
      </c>
      <c r="C17" s="1">
        <v>0.32300000000000001</v>
      </c>
      <c r="D17" s="1" t="str">
        <f t="shared" si="0"/>
        <v>3.29+0.323j</v>
      </c>
      <c r="E17" s="1">
        <v>1.0318000000000001</v>
      </c>
      <c r="F17" s="1" t="str">
        <f t="shared" si="1"/>
        <v>3.29-0.323j</v>
      </c>
      <c r="G17" s="1" t="str">
        <f t="shared" si="2"/>
        <v>3.09032994992613-0.303397134901563j</v>
      </c>
      <c r="H17" s="1" t="str">
        <f t="shared" si="3"/>
        <v>3.0903-0.3034j</v>
      </c>
      <c r="L17" s="1">
        <v>10</v>
      </c>
      <c r="M17" s="1">
        <v>0</v>
      </c>
    </row>
    <row r="18" spans="1:13" x14ac:dyDescent="0.3">
      <c r="A18" s="1">
        <v>17</v>
      </c>
      <c r="B18" s="1">
        <v>0</v>
      </c>
      <c r="C18" s="1">
        <v>0</v>
      </c>
      <c r="D18" s="1" t="str">
        <f t="shared" si="0"/>
        <v>0</v>
      </c>
      <c r="E18" s="1">
        <v>1.0336000000000001</v>
      </c>
      <c r="F18" s="1" t="str">
        <f t="shared" si="1"/>
        <v>0</v>
      </c>
      <c r="G18" s="1" t="str">
        <f t="shared" si="2"/>
        <v>0</v>
      </c>
      <c r="H18" s="1" t="str">
        <f t="shared" si="3"/>
        <v>0</v>
      </c>
      <c r="L18" s="1">
        <v>11</v>
      </c>
      <c r="M18" s="1">
        <v>0</v>
      </c>
    </row>
    <row r="19" spans="1:13" x14ac:dyDescent="0.3">
      <c r="A19" s="1">
        <v>18</v>
      </c>
      <c r="B19" s="1">
        <v>1.58</v>
      </c>
      <c r="C19" s="1">
        <v>0.3</v>
      </c>
      <c r="D19" s="1" t="str">
        <f t="shared" si="0"/>
        <v>1.58+0.3j</v>
      </c>
      <c r="E19" s="1">
        <v>1.0308999999999999</v>
      </c>
      <c r="F19" s="1" t="str">
        <f t="shared" si="1"/>
        <v>1.58-0.3j</v>
      </c>
      <c r="G19" s="1" t="str">
        <f t="shared" si="2"/>
        <v>1.48670228083936-0.282285243197347j</v>
      </c>
      <c r="H19" s="1" t="str">
        <f t="shared" si="3"/>
        <v>1.4867-0.2823j</v>
      </c>
      <c r="L19" s="1">
        <v>12</v>
      </c>
      <c r="M19" s="1" t="s">
        <v>12</v>
      </c>
    </row>
    <row r="20" spans="1:13" x14ac:dyDescent="0.3">
      <c r="A20" s="1">
        <v>19</v>
      </c>
      <c r="B20" s="1">
        <v>0</v>
      </c>
      <c r="C20" s="1">
        <v>0</v>
      </c>
      <c r="D20" s="1" t="str">
        <f t="shared" si="0"/>
        <v>0</v>
      </c>
      <c r="E20" s="1">
        <v>1.0499000000000001</v>
      </c>
      <c r="F20" s="1" t="str">
        <f t="shared" si="1"/>
        <v>0</v>
      </c>
      <c r="G20" s="1" t="str">
        <f t="shared" si="2"/>
        <v>0</v>
      </c>
      <c r="H20" s="1" t="str">
        <f t="shared" si="3"/>
        <v>0</v>
      </c>
      <c r="L20" s="1">
        <v>13</v>
      </c>
      <c r="M20" s="1">
        <v>0</v>
      </c>
    </row>
    <row r="21" spans="1:13" x14ac:dyDescent="0.3">
      <c r="A21" s="1">
        <v>20</v>
      </c>
      <c r="B21" s="1">
        <v>6.28</v>
      </c>
      <c r="C21" s="1">
        <v>1.03</v>
      </c>
      <c r="D21" s="1" t="str">
        <f t="shared" si="0"/>
        <v>6.28+1.03j</v>
      </c>
      <c r="E21" s="1">
        <v>0.99119999999999997</v>
      </c>
      <c r="F21" s="1" t="str">
        <f t="shared" si="1"/>
        <v>6.28-1.03j</v>
      </c>
      <c r="G21" s="1" t="str">
        <f t="shared" si="2"/>
        <v>6.3920042784901-1.04837012847847j</v>
      </c>
      <c r="H21" s="1" t="str">
        <f t="shared" si="3"/>
        <v>6.392-1.0484j</v>
      </c>
      <c r="L21" s="1">
        <v>14</v>
      </c>
      <c r="M21" s="1">
        <v>0</v>
      </c>
    </row>
    <row r="22" spans="1:13" x14ac:dyDescent="0.3">
      <c r="A22" s="1">
        <v>21</v>
      </c>
      <c r="B22" s="1">
        <v>2.74</v>
      </c>
      <c r="C22" s="1">
        <v>1.1499999999999999</v>
      </c>
      <c r="D22" s="1" t="str">
        <f t="shared" si="0"/>
        <v>2.74+1.15j</v>
      </c>
      <c r="E22" s="1">
        <v>1.0318000000000001</v>
      </c>
      <c r="F22" s="1" t="str">
        <f t="shared" si="1"/>
        <v>2.74-1.15j</v>
      </c>
      <c r="G22" s="1" t="str">
        <f t="shared" si="2"/>
        <v>2.57370944157982-1.08020651745138j</v>
      </c>
      <c r="H22" s="1" t="str">
        <f t="shared" si="3"/>
        <v>2.5737-1.0802j</v>
      </c>
      <c r="L22" s="1">
        <v>15</v>
      </c>
      <c r="M22" s="1" t="s">
        <v>13</v>
      </c>
    </row>
    <row r="23" spans="1:13" x14ac:dyDescent="0.3">
      <c r="A23" s="1">
        <v>22</v>
      </c>
      <c r="B23" s="1">
        <v>0</v>
      </c>
      <c r="C23" s="1">
        <v>0</v>
      </c>
      <c r="D23" s="1" t="str">
        <f t="shared" si="0"/>
        <v>0</v>
      </c>
      <c r="E23" s="1">
        <v>1.0498000000000001</v>
      </c>
      <c r="F23" s="1" t="str">
        <f t="shared" si="1"/>
        <v>0</v>
      </c>
      <c r="G23" s="1" t="str">
        <f t="shared" si="2"/>
        <v>0</v>
      </c>
      <c r="H23" s="1" t="str">
        <f t="shared" si="3"/>
        <v>0</v>
      </c>
      <c r="L23" s="1">
        <v>16</v>
      </c>
      <c r="M23" s="1" t="s">
        <v>14</v>
      </c>
    </row>
    <row r="24" spans="1:13" x14ac:dyDescent="0.3">
      <c r="A24" s="1">
        <v>23</v>
      </c>
      <c r="B24" s="1">
        <v>2.4750000000000001</v>
      </c>
      <c r="C24" s="1">
        <v>0.84599999999999997</v>
      </c>
      <c r="D24" s="1" t="str">
        <f t="shared" si="0"/>
        <v>2.475+0.846j</v>
      </c>
      <c r="E24" s="1">
        <v>1.0448</v>
      </c>
      <c r="F24" s="1" t="str">
        <f t="shared" si="1"/>
        <v>2.475-0.846j</v>
      </c>
      <c r="G24" s="1" t="str">
        <f t="shared" si="2"/>
        <v>2.26729941206682-0.775004162670113j</v>
      </c>
      <c r="H24" s="1" t="str">
        <f t="shared" si="3"/>
        <v>2.2673-0.775j</v>
      </c>
      <c r="L24" s="1">
        <v>17</v>
      </c>
      <c r="M24" s="1">
        <v>0</v>
      </c>
    </row>
    <row r="25" spans="1:13" x14ac:dyDescent="0.3">
      <c r="A25" s="1">
        <v>24</v>
      </c>
      <c r="B25" s="1">
        <v>3.0859999999999999</v>
      </c>
      <c r="C25" s="1">
        <v>-0.92</v>
      </c>
      <c r="D25" s="1" t="str">
        <f t="shared" si="0"/>
        <v>3.086-0.92j</v>
      </c>
      <c r="E25" s="1">
        <v>1.0373000000000001</v>
      </c>
      <c r="F25" s="1" t="str">
        <f t="shared" si="1"/>
        <v>3.086+0.92j</v>
      </c>
      <c r="G25" s="1" t="str">
        <f t="shared" si="2"/>
        <v>2.86805295607923+0.855025508617268j</v>
      </c>
      <c r="H25" s="1" t="str">
        <f t="shared" si="3"/>
        <v>2.8681+0.855j</v>
      </c>
      <c r="L25" s="1">
        <v>18</v>
      </c>
      <c r="M25" s="1" t="s">
        <v>15</v>
      </c>
    </row>
    <row r="26" spans="1:13" x14ac:dyDescent="0.3">
      <c r="A26" s="1">
        <v>25</v>
      </c>
      <c r="B26" s="1">
        <v>2.2400000000000002</v>
      </c>
      <c r="C26" s="1">
        <v>0.47199999999999998</v>
      </c>
      <c r="D26" s="1" t="str">
        <f t="shared" si="0"/>
        <v>2.24+0.472j</v>
      </c>
      <c r="E26" s="1">
        <v>1.0576000000000001</v>
      </c>
      <c r="F26" s="1" t="str">
        <f t="shared" si="1"/>
        <v>2.24-0.472j</v>
      </c>
      <c r="G26" s="1" t="str">
        <f t="shared" si="2"/>
        <v>2.00265036471124-0.421987041135583j</v>
      </c>
      <c r="H26" s="1" t="str">
        <f t="shared" si="3"/>
        <v>2.0027-0.422j</v>
      </c>
      <c r="L26" s="1">
        <v>19</v>
      </c>
      <c r="M26" s="1">
        <v>0</v>
      </c>
    </row>
    <row r="27" spans="1:13" x14ac:dyDescent="0.3">
      <c r="A27" s="1">
        <v>26</v>
      </c>
      <c r="B27" s="1">
        <v>1.39</v>
      </c>
      <c r="C27" s="1">
        <v>0.17</v>
      </c>
      <c r="D27" s="1" t="str">
        <f t="shared" si="0"/>
        <v>1.39+0.17j</v>
      </c>
      <c r="E27" s="1">
        <v>1.0521</v>
      </c>
      <c r="F27" s="1" t="str">
        <f t="shared" si="1"/>
        <v>1.39-0.17j</v>
      </c>
      <c r="G27" s="1" t="str">
        <f t="shared" si="2"/>
        <v>1.25574298016411-0.153580076710719j</v>
      </c>
      <c r="H27" s="1" t="str">
        <f t="shared" si="3"/>
        <v>1.2557-0.1536j</v>
      </c>
      <c r="L27" s="1">
        <v>20</v>
      </c>
      <c r="M27" s="1" t="s">
        <v>16</v>
      </c>
    </row>
    <row r="28" spans="1:13" x14ac:dyDescent="0.3">
      <c r="A28" s="1">
        <v>27</v>
      </c>
      <c r="B28" s="1">
        <v>2.81</v>
      </c>
      <c r="C28" s="1">
        <v>0.755</v>
      </c>
      <c r="D28" s="1" t="str">
        <f t="shared" si="0"/>
        <v>2.81+0.755j</v>
      </c>
      <c r="E28" s="1">
        <v>1.0377000000000001</v>
      </c>
      <c r="F28" s="1" t="str">
        <f t="shared" si="1"/>
        <v>2.81-0.755j</v>
      </c>
      <c r="G28" s="1" t="str">
        <f t="shared" si="2"/>
        <v>2.60953235796443-0.701137697602543j</v>
      </c>
      <c r="H28" s="1" t="str">
        <f t="shared" si="3"/>
        <v>2.6095-0.7011j</v>
      </c>
      <c r="L28" s="1">
        <v>21</v>
      </c>
      <c r="M28" s="1" t="s">
        <v>17</v>
      </c>
    </row>
    <row r="29" spans="1:13" x14ac:dyDescent="0.3">
      <c r="A29" s="1">
        <v>28</v>
      </c>
      <c r="B29" s="1">
        <v>2.06</v>
      </c>
      <c r="C29" s="1">
        <v>0.27600000000000002</v>
      </c>
      <c r="D29" s="1" t="str">
        <f t="shared" si="0"/>
        <v>2.06+0.276j</v>
      </c>
      <c r="E29" s="1">
        <v>1.0501</v>
      </c>
      <c r="F29" s="1" t="str">
        <f t="shared" si="1"/>
        <v>2.06-0.276j</v>
      </c>
      <c r="G29" s="1" t="str">
        <f t="shared" si="2"/>
        <v>1.86812487536955-0.250292459030094j</v>
      </c>
      <c r="H29" s="1" t="str">
        <f t="shared" si="3"/>
        <v>1.8681-0.2503j</v>
      </c>
      <c r="L29" s="1">
        <v>22</v>
      </c>
      <c r="M29" s="1">
        <v>0</v>
      </c>
    </row>
    <row r="30" spans="1:13" x14ac:dyDescent="0.3">
      <c r="A30" s="1">
        <v>29</v>
      </c>
      <c r="B30" s="1">
        <v>2.835</v>
      </c>
      <c r="C30" s="1">
        <v>0.26900000000000002</v>
      </c>
      <c r="D30" s="1" t="str">
        <f t="shared" si="0"/>
        <v>2.835+0.269j</v>
      </c>
      <c r="E30" s="1">
        <v>1.0499000000000001</v>
      </c>
      <c r="F30" s="1" t="str">
        <f t="shared" si="1"/>
        <v>2.835-0.269j</v>
      </c>
      <c r="G30" s="1" t="str">
        <f t="shared" si="2"/>
        <v>2.57191843732667-0.244037410808069j</v>
      </c>
      <c r="H30" s="1" t="str">
        <f t="shared" si="3"/>
        <v>2.5719-0.244j</v>
      </c>
      <c r="L30" s="1">
        <v>23</v>
      </c>
      <c r="M30" s="1" t="s">
        <v>18</v>
      </c>
    </row>
    <row r="31" spans="1:13" x14ac:dyDescent="0.3">
      <c r="A31" s="1">
        <v>31</v>
      </c>
      <c r="B31" s="1">
        <v>9.1999999999999998E-2</v>
      </c>
      <c r="C31" s="1">
        <v>4.5999999999999999E-2</v>
      </c>
      <c r="D31" s="1" t="str">
        <f t="shared" si="0"/>
        <v>0.092+0.046j</v>
      </c>
      <c r="E31" s="1">
        <v>1.0475000000000001</v>
      </c>
      <c r="F31" s="1" t="str">
        <f t="shared" si="1"/>
        <v>0.092-0.046j</v>
      </c>
      <c r="G31" s="1" t="str">
        <f t="shared" si="2"/>
        <v>0.0838455009939565-0.0419227504969782j</v>
      </c>
      <c r="H31" s="1" t="str">
        <f t="shared" si="3"/>
        <v>0.0838-0.0419j</v>
      </c>
      <c r="L31" s="1">
        <v>24</v>
      </c>
      <c r="M31" s="1" t="s">
        <v>19</v>
      </c>
    </row>
    <row r="32" spans="1:13" x14ac:dyDescent="0.3">
      <c r="A32" s="1">
        <v>39</v>
      </c>
      <c r="B32" s="1">
        <v>11.04</v>
      </c>
      <c r="C32" s="1">
        <v>2.5</v>
      </c>
      <c r="D32" s="1" t="str">
        <f t="shared" si="0"/>
        <v>11.04+2.5j</v>
      </c>
      <c r="E32" s="1">
        <v>1.03</v>
      </c>
      <c r="F32" s="1" t="str">
        <f t="shared" si="1"/>
        <v>11.04-2.5j</v>
      </c>
      <c r="G32" s="1" t="str">
        <f t="shared" si="2"/>
        <v>10.4062588368366-2.35648977283439j</v>
      </c>
      <c r="H32" s="1" t="str">
        <f t="shared" si="3"/>
        <v>10.4063-2.3565j</v>
      </c>
      <c r="L32" s="1">
        <v>25</v>
      </c>
      <c r="M32" s="1" t="s">
        <v>20</v>
      </c>
    </row>
    <row r="33" spans="2:13" x14ac:dyDescent="0.3">
      <c r="B33" s="1">
        <v>1.25</v>
      </c>
      <c r="C33" s="1">
        <v>0.5</v>
      </c>
      <c r="D33" s="1" t="str">
        <f t="shared" si="0"/>
        <v>1.25+0.5j</v>
      </c>
      <c r="E33" s="1">
        <v>0.99560000000000004</v>
      </c>
      <c r="F33" s="1" t="str">
        <f t="shared" si="1"/>
        <v>1.25-0.5j</v>
      </c>
      <c r="G33" s="1" t="str">
        <f t="shared" si="2"/>
        <v>1.26107302827499-0.504429211309997j</v>
      </c>
      <c r="H33" s="1" t="str">
        <f t="shared" si="3"/>
        <v>1.2611-0.5044j</v>
      </c>
      <c r="L33" s="1">
        <v>26</v>
      </c>
      <c r="M33" s="1" t="s">
        <v>21</v>
      </c>
    </row>
    <row r="34" spans="2:13" x14ac:dyDescent="0.3">
      <c r="B34" s="1">
        <v>0.9</v>
      </c>
      <c r="C34" s="1">
        <v>0.3</v>
      </c>
      <c r="D34" s="1" t="str">
        <f t="shared" si="0"/>
        <v>0.9+0.3j</v>
      </c>
      <c r="E34" s="1">
        <v>1.0129999999999999</v>
      </c>
      <c r="F34" s="1" t="str">
        <f t="shared" si="1"/>
        <v>0.9-0.3j</v>
      </c>
      <c r="G34" s="1" t="str">
        <f t="shared" si="2"/>
        <v>0.877048517349482-0.29234950578316j</v>
      </c>
      <c r="H34" s="1" t="str">
        <f t="shared" si="3"/>
        <v>0.877-0.2923j</v>
      </c>
      <c r="L34" s="1">
        <v>27</v>
      </c>
      <c r="M34" s="1" t="s">
        <v>22</v>
      </c>
    </row>
    <row r="35" spans="2:13" x14ac:dyDescent="0.3">
      <c r="B35" s="1">
        <v>1</v>
      </c>
      <c r="C35" s="1">
        <v>0.35</v>
      </c>
      <c r="D35" s="1" t="str">
        <f t="shared" si="0"/>
        <v>1+0.35j</v>
      </c>
      <c r="E35" s="1">
        <v>1.016</v>
      </c>
      <c r="F35" s="1" t="str">
        <f t="shared" si="1"/>
        <v>1-0.35j</v>
      </c>
      <c r="G35" s="1" t="str">
        <f t="shared" si="2"/>
        <v>0.968751937503875-0.339063178126356j</v>
      </c>
      <c r="H35" s="1" t="str">
        <f t="shared" si="3"/>
        <v>0.9688-0.3391j</v>
      </c>
      <c r="L35" s="1">
        <v>28</v>
      </c>
      <c r="M35" s="1" t="s">
        <v>23</v>
      </c>
    </row>
    <row r="36" spans="2:13" x14ac:dyDescent="0.3">
      <c r="L36" s="1">
        <v>29</v>
      </c>
      <c r="M36" s="1" t="s">
        <v>24</v>
      </c>
    </row>
    <row r="37" spans="2:13" x14ac:dyDescent="0.3">
      <c r="L37" s="1">
        <v>31</v>
      </c>
      <c r="M37" s="1" t="s">
        <v>25</v>
      </c>
    </row>
    <row r="38" spans="2:13" x14ac:dyDescent="0.3">
      <c r="L38" s="1">
        <v>39</v>
      </c>
      <c r="M38" s="1" t="s">
        <v>26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2025-12-20T05:30:59Z</dcterms:created>
  <dcterms:modified xsi:type="dcterms:W3CDTF">2026-01-20T18:27:35Z</dcterms:modified>
</cp:coreProperties>
</file>