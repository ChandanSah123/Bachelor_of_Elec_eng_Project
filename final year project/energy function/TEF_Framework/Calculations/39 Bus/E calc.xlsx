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Acer\Desktop\final year project\energy function\TEF_Framework\Calculations\39 Bus\"/>
    </mc:Choice>
  </mc:AlternateContent>
  <xr:revisionPtr revIDLastSave="0" documentId="13_ncr:1_{107565BC-D807-4B93-B85A-749B8ADDE5C5}" xr6:coauthVersionLast="36" xr6:coauthVersionMax="47" xr10:uidLastSave="{00000000-0000-0000-0000-000000000000}"/>
  <bookViews>
    <workbookView xWindow="0" yWindow="0" windowWidth="23040" windowHeight="9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4" i="1" l="1"/>
  <c r="L14" i="1" s="1"/>
  <c r="M14" i="1" s="1"/>
  <c r="H14" i="1"/>
  <c r="I14" i="1" s="1"/>
  <c r="E14" i="1"/>
  <c r="D14" i="1"/>
  <c r="K2" i="1" l="1"/>
  <c r="E2" i="1"/>
  <c r="H2" i="1"/>
  <c r="C11" i="1"/>
  <c r="D12" i="1"/>
  <c r="B2" i="1"/>
  <c r="C2" i="1"/>
  <c r="D2" i="1"/>
  <c r="E13" i="1"/>
  <c r="I3" i="1" l="1"/>
  <c r="I4" i="1"/>
  <c r="I5" i="1"/>
  <c r="I6" i="1"/>
  <c r="I7" i="1"/>
  <c r="I8" i="1"/>
  <c r="I9" i="1"/>
  <c r="I10" i="1"/>
  <c r="I11" i="1"/>
  <c r="I12" i="1"/>
  <c r="L12" i="1"/>
  <c r="M12" i="1" s="1"/>
  <c r="K13" i="1"/>
  <c r="H13" i="1"/>
  <c r="I13" i="1" s="1"/>
  <c r="D13" i="1"/>
  <c r="K12" i="1"/>
  <c r="H12" i="1"/>
  <c r="E12" i="1"/>
  <c r="C3" i="1"/>
  <c r="C4" i="1"/>
  <c r="C5" i="1"/>
  <c r="C6" i="1"/>
  <c r="C7" i="1"/>
  <c r="C8" i="1"/>
  <c r="C9" i="1"/>
  <c r="C10" i="1"/>
  <c r="B3" i="1"/>
  <c r="B4" i="1"/>
  <c r="B5" i="1"/>
  <c r="E5" i="1" s="1"/>
  <c r="B6" i="1"/>
  <c r="B7" i="1"/>
  <c r="B8" i="1"/>
  <c r="B9" i="1"/>
  <c r="E9" i="1" s="1"/>
  <c r="B10" i="1"/>
  <c r="B11" i="1"/>
  <c r="K3" i="1"/>
  <c r="K4" i="1"/>
  <c r="K5" i="1"/>
  <c r="K6" i="1"/>
  <c r="K7" i="1"/>
  <c r="K8" i="1"/>
  <c r="K9" i="1"/>
  <c r="K10" i="1"/>
  <c r="K11" i="1"/>
  <c r="E3" i="1"/>
  <c r="E4" i="1"/>
  <c r="E7" i="1"/>
  <c r="E8" i="1"/>
  <c r="E11" i="1"/>
  <c r="D3" i="1"/>
  <c r="L3" i="1" s="1"/>
  <c r="M3" i="1" s="1"/>
  <c r="D4" i="1"/>
  <c r="L4" i="1" s="1"/>
  <c r="M4" i="1" s="1"/>
  <c r="D7" i="1"/>
  <c r="L7" i="1" s="1"/>
  <c r="M7" i="1" s="1"/>
  <c r="D8" i="1"/>
  <c r="L8" i="1" s="1"/>
  <c r="M8" i="1" s="1"/>
  <c r="D11" i="1"/>
  <c r="L11" i="1" s="1"/>
  <c r="M11" i="1" s="1"/>
  <c r="H3" i="1"/>
  <c r="H4" i="1"/>
  <c r="H5" i="1"/>
  <c r="H6" i="1"/>
  <c r="H7" i="1"/>
  <c r="H8" i="1"/>
  <c r="H9" i="1"/>
  <c r="H10" i="1"/>
  <c r="H11" i="1"/>
  <c r="I2" i="1"/>
  <c r="L13" i="1" l="1"/>
  <c r="M13" i="1" s="1"/>
  <c r="D10" i="1"/>
  <c r="E6" i="1"/>
  <c r="D6" i="1"/>
  <c r="D9" i="1"/>
  <c r="L9" i="1" s="1"/>
  <c r="M9" i="1" s="1"/>
  <c r="D5" i="1"/>
  <c r="L5" i="1" s="1"/>
  <c r="M5" i="1" s="1"/>
  <c r="E10" i="1"/>
  <c r="L10" i="1"/>
  <c r="M10" i="1" s="1"/>
  <c r="L6" i="1"/>
  <c r="M6" i="1" s="1"/>
  <c r="L2" i="1"/>
  <c r="M2" i="1" s="1"/>
</calcChain>
</file>

<file path=xl/sharedStrings.xml><?xml version="1.0" encoding="utf-8"?>
<sst xmlns="http://schemas.openxmlformats.org/spreadsheetml/2006/main" count="27" uniqueCount="18">
  <si>
    <t xml:space="preserve">1 </t>
  </si>
  <si>
    <t>p</t>
  </si>
  <si>
    <t>q</t>
  </si>
  <si>
    <t>v</t>
  </si>
  <si>
    <t>del</t>
  </si>
  <si>
    <t>Bus Name</t>
  </si>
  <si>
    <t>P</t>
  </si>
  <si>
    <t>Q</t>
  </si>
  <si>
    <t>V</t>
  </si>
  <si>
    <t>Del</t>
  </si>
  <si>
    <t>I</t>
  </si>
  <si>
    <t>E</t>
  </si>
  <si>
    <t>x'd</t>
  </si>
  <si>
    <t>P(complex form)</t>
  </si>
  <si>
    <t>Pconj</t>
  </si>
  <si>
    <t>V(complex)</t>
  </si>
  <si>
    <t>xd'(complex)</t>
  </si>
  <si>
    <t>E(Polar)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</si>
</sst>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"/>
    <numFmt numFmtId="165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"/>
  <sheetViews>
    <sheetView tabSelected="1" topLeftCell="J1" workbookViewId="0">
      <selection activeCell="L15" sqref="L15"/>
    </sheetView>
  </sheetViews>
  <sheetFormatPr defaultRowHeight="14.4" x14ac:dyDescent="0.3"/>
  <cols>
    <col min="4" max="4" width="36" customWidth="1"/>
    <col min="5" max="5" width="38.77734375" customWidth="1"/>
    <col min="6" max="6" width="13.44140625" customWidth="1"/>
    <col min="7" max="7" width="17.44140625" customWidth="1"/>
    <col min="8" max="8" width="35.6640625" customWidth="1"/>
    <col min="9" max="9" width="38.21875" customWidth="1"/>
    <col min="11" max="11" width="11.44140625" customWidth="1"/>
    <col min="12" max="12" width="37" customWidth="1"/>
    <col min="13" max="13" width="36.88671875" customWidth="1"/>
    <col min="23" max="23" width="12.6640625" customWidth="1"/>
  </cols>
  <sheetData>
    <row r="1" spans="1:23" ht="28.8" customHeight="1" x14ac:dyDescent="0.3">
      <c r="A1" t="s">
        <v>5</v>
      </c>
      <c r="B1" t="s">
        <v>6</v>
      </c>
      <c r="C1" t="s">
        <v>7</v>
      </c>
      <c r="D1" t="s">
        <v>13</v>
      </c>
      <c r="E1" t="s">
        <v>14</v>
      </c>
      <c r="F1" t="s">
        <v>8</v>
      </c>
      <c r="G1" t="s">
        <v>9</v>
      </c>
      <c r="H1" t="s">
        <v>15</v>
      </c>
      <c r="I1" t="s">
        <v>10</v>
      </c>
      <c r="J1" t="s">
        <v>12</v>
      </c>
      <c r="K1" t="s">
        <v>16</v>
      </c>
      <c r="L1" t="s">
        <v>11</v>
      </c>
      <c r="M1" t="s">
        <v>17</v>
      </c>
      <c r="S1" t="s">
        <v>1</v>
      </c>
      <c r="T1" t="s">
        <v>2</v>
      </c>
      <c r="V1" t="s">
        <v>3</v>
      </c>
      <c r="W1" t="s">
        <v>4</v>
      </c>
    </row>
    <row r="2" spans="1:23" x14ac:dyDescent="0.3">
      <c r="A2">
        <v>30</v>
      </c>
      <c r="B2">
        <f>S2/100</f>
        <v>2.5</v>
      </c>
      <c r="C2" s="1">
        <f>T2/100</f>
        <v>1.4954771423339801</v>
      </c>
      <c r="D2" t="str">
        <f>COMPLEX(B2, C2, "j")</f>
        <v>2.5+1.49547714233398j</v>
      </c>
      <c r="E2" s="4" t="str">
        <f>IMCONJUGATE(COMPLEX(B2, C2, "j"))</f>
        <v>2.5-1.49547714233398j</v>
      </c>
      <c r="F2">
        <v>1.0475000143051101</v>
      </c>
      <c r="G2" s="1">
        <v>-3.3013627572589699</v>
      </c>
      <c r="H2" s="2" t="str">
        <f>COMPLEX(F2*COS(RADIANS(G2)), F2*SIN(RADIANS(G2)), "j")</f>
        <v>1.04576163271732-0.0603231921039199j</v>
      </c>
      <c r="I2" t="str">
        <f>IMDIV(E2, H2)</f>
        <v>2.46489000437824-1.28785285953294j</v>
      </c>
      <c r="J2">
        <v>6.0000000000000001E-3</v>
      </c>
      <c r="K2" t="str">
        <f>COMPLEX(0, J2, "j")</f>
        <v>0.006j</v>
      </c>
      <c r="L2" t="str">
        <f>IMSUM(H2, IMPRODUCT(K2, I2))</f>
        <v>1.05348874987452-0.0455338520776505j</v>
      </c>
      <c r="M2" t="str">
        <f>IMABS(L2) &amp; " ∠ " &amp; DEGREES(IMARGUMENT(L2)) &amp; "°"</f>
        <v>1.0544723219683 ∠ -2.47489569702516°</v>
      </c>
      <c r="P2">
        <v>30</v>
      </c>
      <c r="Q2">
        <v>2</v>
      </c>
      <c r="R2" t="s">
        <v>0</v>
      </c>
      <c r="S2">
        <v>250</v>
      </c>
      <c r="T2">
        <v>149.54771423339801</v>
      </c>
      <c r="U2">
        <v>30</v>
      </c>
      <c r="V2">
        <v>1.047500014305115</v>
      </c>
      <c r="W2">
        <v>-3.3013627572589659</v>
      </c>
    </row>
    <row r="3" spans="1:23" x14ac:dyDescent="0.3">
      <c r="A3">
        <v>31</v>
      </c>
      <c r="B3" s="1">
        <f t="shared" ref="B3:B11" si="0">S3/100</f>
        <v>5.1018542480468749</v>
      </c>
      <c r="C3" s="1">
        <f t="shared" ref="C3:C10" si="1">T3/100</f>
        <v>1.961340026855469</v>
      </c>
      <c r="D3" t="str">
        <f t="shared" ref="D3:D14" si="2">COMPLEX(B3, C3, "j")</f>
        <v>5.10185424804687+1.96134002685547j</v>
      </c>
      <c r="E3" s="3" t="str">
        <f t="shared" ref="E3:E12" si="3">IMCONJUGATE(COMPLEX(B3, C3, "j"))</f>
        <v>5.10185424804687-1.96134002685547j</v>
      </c>
      <c r="F3">
        <v>0.98199999332427979</v>
      </c>
      <c r="G3" s="1">
        <v>0</v>
      </c>
      <c r="H3" s="2" t="str">
        <f t="shared" ref="H3:H14" si="4">COMPLEX(F3*COS(RADIANS(G3)), F3*SIN(RADIANS(G3)), "j")</f>
        <v>0.98199999332428</v>
      </c>
      <c r="I3" t="str">
        <f t="shared" ref="I3:I14" si="5">IMDIV(E3, H3)</f>
        <v>5.19537096000989-1.99729128328801j</v>
      </c>
      <c r="J3">
        <v>6.9699999999999998E-2</v>
      </c>
      <c r="K3" t="str">
        <f t="shared" ref="K3:K14" si="6">COMPLEX(0, J3, "j")</f>
        <v>0.0697j</v>
      </c>
      <c r="L3" t="str">
        <f t="shared" ref="L3:L14" si="7">IMSUM(H3, IMPRODUCT(K3, I3))</f>
        <v>1.12121119576945+0.362117355912689j</v>
      </c>
      <c r="M3" t="str">
        <f t="shared" ref="M3:M14" si="8">IMABS(L3) &amp; " ∠ " &amp; DEGREES(IMARGUMENT(L3)) &amp; "°"</f>
        <v>1.17823746544233 ∠ 17.8988897393443°</v>
      </c>
      <c r="P3">
        <v>31</v>
      </c>
      <c r="Q3">
        <v>6</v>
      </c>
      <c r="R3" t="s">
        <v>0</v>
      </c>
      <c r="S3">
        <v>510.1854248046875</v>
      </c>
      <c r="T3">
        <v>196.1340026855469</v>
      </c>
      <c r="U3">
        <v>31</v>
      </c>
      <c r="V3">
        <v>0.98199999332427979</v>
      </c>
      <c r="W3">
        <v>0</v>
      </c>
    </row>
    <row r="4" spans="1:23" x14ac:dyDescent="0.3">
      <c r="A4">
        <v>32</v>
      </c>
      <c r="B4">
        <f t="shared" si="0"/>
        <v>6.5</v>
      </c>
      <c r="C4" s="1">
        <f t="shared" si="1"/>
        <v>2.0877182006835939</v>
      </c>
      <c r="D4" t="str">
        <f t="shared" si="2"/>
        <v>6.5+2.08771820068359j</v>
      </c>
      <c r="E4" s="3" t="str">
        <f t="shared" si="3"/>
        <v>6.5-2.08771820068359j</v>
      </c>
      <c r="F4">
        <v>0.98309999704360962</v>
      </c>
      <c r="G4" s="1">
        <v>2.6028743155612579</v>
      </c>
      <c r="H4" s="2" t="str">
        <f t="shared" si="4"/>
        <v>0.982085725739394+0.0446456211298776j</v>
      </c>
      <c r="I4" t="str">
        <f t="shared" si="5"/>
        <v>6.50847743022809-2.42167578230031j</v>
      </c>
      <c r="J4">
        <v>5.3100000000000001E-2</v>
      </c>
      <c r="K4" t="str">
        <f t="shared" si="6"/>
        <v>0.0531j</v>
      </c>
      <c r="L4" t="str">
        <f t="shared" si="7"/>
        <v>1.11067670977954+0.39024577267499j</v>
      </c>
      <c r="M4" t="str">
        <f t="shared" si="8"/>
        <v>1.17724021199473 ∠ 19.3593619671708°</v>
      </c>
      <c r="P4">
        <v>32</v>
      </c>
      <c r="Q4">
        <v>10</v>
      </c>
      <c r="R4" t="s">
        <v>0</v>
      </c>
      <c r="S4">
        <v>650</v>
      </c>
      <c r="T4">
        <v>208.7718200683594</v>
      </c>
      <c r="U4">
        <v>32</v>
      </c>
      <c r="V4">
        <v>0.98309999704360962</v>
      </c>
      <c r="W4">
        <v>2.6028743155612579</v>
      </c>
    </row>
    <row r="5" spans="1:23" x14ac:dyDescent="0.3">
      <c r="A5">
        <v>33</v>
      </c>
      <c r="B5">
        <f t="shared" si="0"/>
        <v>6.32</v>
      </c>
      <c r="C5" s="1">
        <f t="shared" si="1"/>
        <v>1.5521205139160159</v>
      </c>
      <c r="D5" t="str">
        <f t="shared" si="2"/>
        <v>6.32+1.55212051391602j</v>
      </c>
      <c r="E5" s="3" t="str">
        <f t="shared" si="3"/>
        <v>6.32-1.55212051391602j</v>
      </c>
      <c r="F5">
        <v>0.99720001220703125</v>
      </c>
      <c r="G5" s="1">
        <v>4.3194009589454856</v>
      </c>
      <c r="H5" s="2" t="str">
        <f t="shared" si="4"/>
        <v>0.994367652812465+0.075105495044855j</v>
      </c>
      <c r="I5" t="str">
        <f t="shared" si="5"/>
        <v>6.20251609762371-2.02939380644989j</v>
      </c>
      <c r="J5">
        <v>4.36E-2</v>
      </c>
      <c r="K5" t="str">
        <f t="shared" si="6"/>
        <v>0.0436j</v>
      </c>
      <c r="L5" t="str">
        <f t="shared" si="7"/>
        <v>1.08284922277368+0.345535196901249j</v>
      </c>
      <c r="M5" t="str">
        <f t="shared" si="8"/>
        <v>1.13664286896067 ∠ 17.6977875360205°</v>
      </c>
      <c r="P5">
        <v>33</v>
      </c>
      <c r="Q5">
        <v>19</v>
      </c>
      <c r="R5" t="s">
        <v>0</v>
      </c>
      <c r="S5">
        <v>632</v>
      </c>
      <c r="T5">
        <v>155.21205139160159</v>
      </c>
      <c r="U5">
        <v>33</v>
      </c>
      <c r="V5">
        <v>0.99720001220703125</v>
      </c>
      <c r="W5">
        <v>4.3194009589454856</v>
      </c>
    </row>
    <row r="6" spans="1:23" x14ac:dyDescent="0.3">
      <c r="A6">
        <v>34</v>
      </c>
      <c r="B6">
        <f t="shared" si="0"/>
        <v>5.08</v>
      </c>
      <c r="C6" s="1">
        <f t="shared" si="1"/>
        <v>1.3405982971191408</v>
      </c>
      <c r="D6" t="str">
        <f t="shared" si="2"/>
        <v>5.08+1.34059829711914j</v>
      </c>
      <c r="E6" s="3" t="str">
        <f t="shared" si="3"/>
        <v>5.08-1.34059829711914j</v>
      </c>
      <c r="F6">
        <v>1.0123000144958501</v>
      </c>
      <c r="G6" s="1">
        <v>8.3064064930640686</v>
      </c>
      <c r="H6" s="2" t="str">
        <f t="shared" si="4"/>
        <v>1.00168062471931+0.146243787595336j</v>
      </c>
      <c r="I6" t="str">
        <f t="shared" si="5"/>
        <v>4.77431285872456-2.03539116404038j</v>
      </c>
      <c r="J6">
        <v>0.13200000000000001</v>
      </c>
      <c r="K6" t="str">
        <f t="shared" si="6"/>
        <v>0.132j</v>
      </c>
      <c r="L6" t="str">
        <f t="shared" si="7"/>
        <v>1.27035225837264+0.776453084946978j</v>
      </c>
      <c r="M6" t="str">
        <f t="shared" si="8"/>
        <v>1.48884997681974 ∠ 31.4337262282599°</v>
      </c>
      <c r="P6">
        <v>34</v>
      </c>
      <c r="Q6">
        <v>20</v>
      </c>
      <c r="R6" t="s">
        <v>0</v>
      </c>
      <c r="S6">
        <v>508</v>
      </c>
      <c r="T6">
        <v>134.05982971191409</v>
      </c>
      <c r="U6">
        <v>34</v>
      </c>
      <c r="V6">
        <v>1.0123000144958501</v>
      </c>
      <c r="W6">
        <v>8.3064064930640686</v>
      </c>
    </row>
    <row r="7" spans="1:23" x14ac:dyDescent="0.3">
      <c r="A7">
        <v>35</v>
      </c>
      <c r="B7">
        <f t="shared" si="0"/>
        <v>6.5</v>
      </c>
      <c r="C7" s="1">
        <f t="shared" si="1"/>
        <v>1.8860234069824218</v>
      </c>
      <c r="D7" t="str">
        <f t="shared" si="2"/>
        <v>6.5+1.88602340698242j</v>
      </c>
      <c r="E7" s="3" t="str">
        <f t="shared" si="3"/>
        <v>6.5-1.88602340698242j</v>
      </c>
      <c r="F7">
        <v>1.049299955368042</v>
      </c>
      <c r="G7" s="1">
        <v>3.6175793849328119</v>
      </c>
      <c r="H7" s="2" t="str">
        <f t="shared" si="4"/>
        <v>1.04720913725662+0.0662073952184925j</v>
      </c>
      <c r="I7" t="str">
        <f t="shared" si="5"/>
        <v>6.06885215640795-2.18468901657768j</v>
      </c>
      <c r="J7">
        <v>0.05</v>
      </c>
      <c r="K7" t="str">
        <f t="shared" si="6"/>
        <v>0.05j</v>
      </c>
      <c r="L7" t="str">
        <f t="shared" si="7"/>
        <v>1.1564435880855+0.369650003038891j</v>
      </c>
      <c r="M7" t="str">
        <f t="shared" si="8"/>
        <v>1.21408521001234 ∠ 17.7261557917795°</v>
      </c>
      <c r="P7">
        <v>35</v>
      </c>
      <c r="Q7">
        <v>22</v>
      </c>
      <c r="R7" t="s">
        <v>0</v>
      </c>
      <c r="S7">
        <v>650</v>
      </c>
      <c r="T7">
        <v>188.60234069824219</v>
      </c>
      <c r="U7">
        <v>35</v>
      </c>
      <c r="V7">
        <v>1.049299955368042</v>
      </c>
      <c r="W7">
        <v>3.6175793849328119</v>
      </c>
    </row>
    <row r="8" spans="1:23" x14ac:dyDescent="0.3">
      <c r="A8">
        <v>36</v>
      </c>
      <c r="B8">
        <f t="shared" si="0"/>
        <v>5.6</v>
      </c>
      <c r="C8" s="1">
        <f t="shared" si="1"/>
        <v>0.76941902160644526</v>
      </c>
      <c r="D8" t="str">
        <f t="shared" si="2"/>
        <v>5.6+0.769419021606445j</v>
      </c>
      <c r="E8" s="3" t="str">
        <f t="shared" si="3"/>
        <v>5.6-0.769419021606445j</v>
      </c>
      <c r="F8">
        <v>1.0635000467300419</v>
      </c>
      <c r="G8" s="1">
        <v>5.5890033520566256</v>
      </c>
      <c r="H8" s="2" t="str">
        <f t="shared" si="4"/>
        <v>1.05844428503985+0.103576275571559j</v>
      </c>
      <c r="I8" t="str">
        <f t="shared" si="5"/>
        <v>5.17013898209034-1.23286863560283j</v>
      </c>
      <c r="J8">
        <v>4.9000000000000002E-2</v>
      </c>
      <c r="K8" t="str">
        <f t="shared" si="6"/>
        <v>0.049j</v>
      </c>
      <c r="L8" t="str">
        <f t="shared" si="7"/>
        <v>1.11885484818439+0.356913085693986j</v>
      </c>
      <c r="M8" t="str">
        <f t="shared" si="8"/>
        <v>1.17440330468086 ∠ 17.6926080002828°</v>
      </c>
      <c r="P8">
        <v>36</v>
      </c>
      <c r="Q8">
        <v>23</v>
      </c>
      <c r="R8" t="s">
        <v>0</v>
      </c>
      <c r="S8">
        <v>560</v>
      </c>
      <c r="T8">
        <v>76.941902160644531</v>
      </c>
      <c r="U8">
        <v>36</v>
      </c>
      <c r="V8">
        <v>1.0635000467300419</v>
      </c>
      <c r="W8">
        <v>5.5890033520566256</v>
      </c>
    </row>
    <row r="9" spans="1:23" x14ac:dyDescent="0.3">
      <c r="A9">
        <v>37</v>
      </c>
      <c r="B9">
        <f t="shared" si="0"/>
        <v>5.4</v>
      </c>
      <c r="C9" s="1">
        <f t="shared" si="1"/>
        <v>2.7760486602783199E-2</v>
      </c>
      <c r="D9" t="str">
        <f t="shared" si="2"/>
        <v>5.4+0.0277604866027832j</v>
      </c>
      <c r="E9" s="3" t="str">
        <f t="shared" si="3"/>
        <v>5.4-0.0277604866027832j</v>
      </c>
      <c r="F9">
        <v>1.0277999639511111</v>
      </c>
      <c r="G9" s="1">
        <v>2.4563915173002262</v>
      </c>
      <c r="H9" s="2" t="str">
        <f t="shared" si="4"/>
        <v>1.02685555086884+0.0440504659198028j</v>
      </c>
      <c r="I9" t="str">
        <f t="shared" si="5"/>
        <v>5.24795535372458-0.252163378618915j</v>
      </c>
      <c r="J9">
        <v>5.7000000000000002E-2</v>
      </c>
      <c r="K9" t="str">
        <f t="shared" si="6"/>
        <v>0.057j</v>
      </c>
      <c r="L9" t="str">
        <f t="shared" si="7"/>
        <v>1.04122886345012+0.343183921082104j</v>
      </c>
      <c r="M9" t="str">
        <f t="shared" si="8"/>
        <v>1.09632693562227 ∠ 18.2419661238629°</v>
      </c>
      <c r="P9">
        <v>37</v>
      </c>
      <c r="Q9">
        <v>25</v>
      </c>
      <c r="R9" t="s">
        <v>0</v>
      </c>
      <c r="S9">
        <v>540</v>
      </c>
      <c r="T9">
        <v>2.7760486602783199</v>
      </c>
      <c r="U9">
        <v>37</v>
      </c>
      <c r="V9">
        <v>1.0277999639511111</v>
      </c>
      <c r="W9">
        <v>2.4563915173002262</v>
      </c>
    </row>
    <row r="10" spans="1:23" x14ac:dyDescent="0.3">
      <c r="A10">
        <v>38</v>
      </c>
      <c r="B10">
        <f t="shared" si="0"/>
        <v>8.3000000000000007</v>
      </c>
      <c r="C10" s="1">
        <f t="shared" si="1"/>
        <v>0.25355117797851556</v>
      </c>
      <c r="D10" t="str">
        <f t="shared" si="2"/>
        <v>8.3+0.253551177978516j</v>
      </c>
      <c r="E10" s="3" t="str">
        <f t="shared" si="3"/>
        <v>8.3-0.253551177978516j</v>
      </c>
      <c r="F10">
        <v>1.02649998664856</v>
      </c>
      <c r="G10" s="1">
        <v>7.8533890737210958</v>
      </c>
      <c r="H10" s="2" t="str">
        <f t="shared" si="4"/>
        <v>1.01687239045445+0.140259631116541j</v>
      </c>
      <c r="I10" t="str">
        <f t="shared" si="5"/>
        <v>7.97614132902303-1.34951231973896j</v>
      </c>
      <c r="J10">
        <v>5.7000000000000002E-2</v>
      </c>
      <c r="K10" t="str">
        <f t="shared" si="6"/>
        <v>0.057j</v>
      </c>
      <c r="L10" t="str">
        <f t="shared" si="7"/>
        <v>1.09379459267957+0.594899686870854j</v>
      </c>
      <c r="M10" t="str">
        <f t="shared" si="8"/>
        <v>1.24510732405448 ∠ 28.5411552272759°</v>
      </c>
      <c r="P10">
        <v>38</v>
      </c>
      <c r="Q10">
        <v>29</v>
      </c>
      <c r="R10" t="s">
        <v>0</v>
      </c>
      <c r="S10">
        <v>830</v>
      </c>
      <c r="T10">
        <v>25.355117797851559</v>
      </c>
      <c r="U10">
        <v>38</v>
      </c>
      <c r="V10">
        <v>1.02649998664856</v>
      </c>
      <c r="W10">
        <v>7.8533890737210958</v>
      </c>
    </row>
    <row r="11" spans="1:23" x14ac:dyDescent="0.3">
      <c r="A11">
        <v>39</v>
      </c>
      <c r="B11" s="1">
        <f t="shared" si="0"/>
        <v>0.1018332481384277</v>
      </c>
      <c r="C11" s="1">
        <f>T11/100</f>
        <v>-0.27963871002197271</v>
      </c>
      <c r="D11" t="str">
        <f t="shared" si="2"/>
        <v>0.101833248138428-0.279638710021973j</v>
      </c>
      <c r="E11" s="3" t="str">
        <f t="shared" si="3"/>
        <v>0.101833248138428+0.279638710021973j</v>
      </c>
      <c r="F11">
        <v>1.029999971389771</v>
      </c>
      <c r="G11" s="1">
        <v>-10.03392611247402</v>
      </c>
      <c r="H11" s="2" t="str">
        <f t="shared" si="4"/>
        <v>1.01424587401698-0.179458207119241j</v>
      </c>
      <c r="I11" t="str">
        <f t="shared" si="5"/>
        <v>0.0500523076354078+0.28456710035142j</v>
      </c>
      <c r="J11">
        <v>3.1E-2</v>
      </c>
      <c r="K11" t="str">
        <f t="shared" si="6"/>
        <v>0.031j</v>
      </c>
      <c r="L11" t="str">
        <f t="shared" si="7"/>
        <v>1.00542429390609-0.177906585582543j</v>
      </c>
      <c r="M11" t="str">
        <f t="shared" si="8"/>
        <v>1.02104297851276 ∠ -10.0344370968385°</v>
      </c>
      <c r="P11">
        <v>39</v>
      </c>
      <c r="Q11">
        <v>9</v>
      </c>
      <c r="R11" t="s">
        <v>0</v>
      </c>
      <c r="S11">
        <v>10.18332481384277</v>
      </c>
      <c r="T11">
        <v>-27.963871002197269</v>
      </c>
      <c r="U11">
        <v>39</v>
      </c>
      <c r="V11">
        <v>1.029999971389771</v>
      </c>
      <c r="W11">
        <v>-10.03392611247402</v>
      </c>
    </row>
    <row r="12" spans="1:23" x14ac:dyDescent="0.3">
      <c r="A12">
        <v>1</v>
      </c>
      <c r="B12">
        <v>0.71599999999999997</v>
      </c>
      <c r="C12">
        <v>0.27</v>
      </c>
      <c r="D12" t="str">
        <f>COMPLEX(B12, C12, "j")</f>
        <v>0.716+0.27j</v>
      </c>
      <c r="E12" s="3" t="str">
        <f t="shared" si="3"/>
        <v>0.716-0.27j</v>
      </c>
      <c r="F12">
        <v>1.04</v>
      </c>
      <c r="G12">
        <v>0</v>
      </c>
      <c r="H12" t="str">
        <f t="shared" si="4"/>
        <v>1.04</v>
      </c>
      <c r="I12" t="str">
        <f t="shared" si="5"/>
        <v>0.688461538461538-0.259615384615385j</v>
      </c>
      <c r="J12">
        <v>6.8000000000000005E-2</v>
      </c>
      <c r="K12" t="str">
        <f t="shared" si="6"/>
        <v>0.068j</v>
      </c>
      <c r="L12" t="str">
        <f t="shared" si="7"/>
        <v>1.05765384615385+0.0468153846153846j</v>
      </c>
      <c r="M12" t="str">
        <f t="shared" si="8"/>
        <v>1.05868944385061 ∠ 2.53445325134042°</v>
      </c>
    </row>
    <row r="13" spans="1:23" x14ac:dyDescent="0.3">
      <c r="A13">
        <v>2</v>
      </c>
      <c r="B13">
        <v>1.63</v>
      </c>
      <c r="C13">
        <v>6.7000000000000004E-2</v>
      </c>
      <c r="D13" t="str">
        <f t="shared" si="2"/>
        <v>1.63+0.067j</v>
      </c>
      <c r="E13" s="3" t="str">
        <f>IMCONJUGATE(COMPLEX(B13, C13, "j"))</f>
        <v>1.63-0.067j</v>
      </c>
      <c r="F13">
        <v>1.0249999999999999</v>
      </c>
      <c r="G13">
        <v>9.3000000000000007</v>
      </c>
      <c r="H13" t="str">
        <f t="shared" si="4"/>
        <v>1.01152710931698+0.165643916630945j</v>
      </c>
      <c r="I13" t="str">
        <f t="shared" si="5"/>
        <v>1.55877791388211-0.321496157461203j</v>
      </c>
      <c r="J13">
        <v>0.1198</v>
      </c>
      <c r="K13" t="str">
        <f t="shared" si="6"/>
        <v>0.1198j</v>
      </c>
      <c r="L13" t="str">
        <f t="shared" si="7"/>
        <v>1.05004234898083+0.352385510714022j</v>
      </c>
      <c r="M13" t="str">
        <f t="shared" si="8"/>
        <v>1.10759400631024 ∠ 18.5513258815506°</v>
      </c>
    </row>
    <row r="14" spans="1:23" x14ac:dyDescent="0.3">
      <c r="A14">
        <v>3</v>
      </c>
      <c r="B14">
        <v>0.85</v>
      </c>
      <c r="C14">
        <v>-0.1085</v>
      </c>
      <c r="D14" t="str">
        <f t="shared" si="2"/>
        <v>0.85-0.1085j</v>
      </c>
      <c r="E14" s="3" t="str">
        <f>IMCONJUGATE(COMPLEX(B14, C14, "j"))</f>
        <v>0.85+0.1085j</v>
      </c>
      <c r="F14">
        <v>1.0249999999999999</v>
      </c>
      <c r="G14" s="1">
        <v>4.7</v>
      </c>
      <c r="H14" s="2" t="str">
        <f t="shared" si="4"/>
        <v>1.02155332148849+0.0839869713457919j</v>
      </c>
      <c r="I14" t="str">
        <f t="shared" si="5"/>
        <v>0.835153275104086+0.037548706472412j</v>
      </c>
      <c r="J14">
        <v>0.18129999999999999</v>
      </c>
      <c r="K14" t="str">
        <f t="shared" si="6"/>
        <v>0.1813j</v>
      </c>
      <c r="L14" t="str">
        <f t="shared" si="7"/>
        <v>1.01474574100504+0.235400260122163j</v>
      </c>
      <c r="M14" t="str">
        <f t="shared" si="8"/>
        <v>1.04169198967519 ∠ 13.0604392111831°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Acer</cp:lastModifiedBy>
  <dcterms:created xsi:type="dcterms:W3CDTF">2015-06-05T18:17:20Z</dcterms:created>
  <dcterms:modified xsi:type="dcterms:W3CDTF">2026-01-10T19:42:31Z</dcterms:modified>
</cp:coreProperties>
</file>